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F3633266-96A8-4421-B1C9-4F5689D96AA5}" xr6:coauthVersionLast="47" xr6:coauthVersionMax="47" xr10:uidLastSave="{00000000-0000-0000-0000-000000000000}"/>
  <bookViews>
    <workbookView xWindow="-110" yWindow="-110" windowWidth="19420" windowHeight="10420" activeTab="5" xr2:uid="{0027F6D1-0E93-4B68-AA36-505DA778F833}"/>
  </bookViews>
  <sheets>
    <sheet name="Summary" sheetId="1" r:id="rId1"/>
    <sheet name="Histrorical Data" sheetId="2" r:id="rId2"/>
    <sheet name="Performance" sheetId="3" r:id="rId3"/>
    <sheet name="Risk analysis" sheetId="4" r:id="rId4"/>
    <sheet name="Portfolio Analysis" sheetId="7" r:id="rId5"/>
    <sheet name="Charts" sheetId="5" r:id="rId6"/>
  </sheets>
  <definedNames>
    <definedName name="_xlnm._FilterDatabase" localSheetId="1" hidden="1">'Histrorical Data'!$A$3:$G$369</definedName>
    <definedName name="_xlchart.v1.0" hidden="1">'Histrorical Data'!$A$4:$A$369</definedName>
    <definedName name="_xlchart.v1.1" hidden="1">'Histrorical Data'!$B$3</definedName>
    <definedName name="_xlchart.v1.2" hidden="1">'Histrorical Data'!$B$4:$B$369</definedName>
    <definedName name="_xlchart.v1.3" hidden="1">'Histrorical Data'!$C$3</definedName>
    <definedName name="_xlchart.v1.4" hidden="1">'Histrorical Data'!$C$4:$C$369</definedName>
    <definedName name="_xlchart.v1.5" hidden="1">'Histrorical Data'!$D$3</definedName>
    <definedName name="_xlchart.v1.6" hidden="1">'Histrorical Data'!$D$4:$D$369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7" l="1"/>
  <c r="D9" i="1"/>
  <c r="D11" i="1"/>
  <c r="D10" i="1"/>
  <c r="B7" i="7"/>
  <c r="C7" i="7"/>
  <c r="E7" i="7"/>
  <c r="E5" i="7"/>
  <c r="E6" i="7"/>
  <c r="E4" i="7"/>
  <c r="B6" i="4"/>
  <c r="M258" i="2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M73" i="2" s="1"/>
  <c r="L74" i="2"/>
  <c r="M74" i="2" s="1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 s="1"/>
  <c r="L111" i="2"/>
  <c r="M111" i="2" s="1"/>
  <c r="L112" i="2"/>
  <c r="M112" i="2" s="1"/>
  <c r="L113" i="2"/>
  <c r="M113" i="2" s="1"/>
  <c r="L114" i="2"/>
  <c r="M114" i="2" s="1"/>
  <c r="L115" i="2"/>
  <c r="M115" i="2" s="1"/>
  <c r="L116" i="2"/>
  <c r="M116" i="2" s="1"/>
  <c r="L117" i="2"/>
  <c r="M117" i="2" s="1"/>
  <c r="L118" i="2"/>
  <c r="M118" i="2" s="1"/>
  <c r="L119" i="2"/>
  <c r="M119" i="2" s="1"/>
  <c r="L120" i="2"/>
  <c r="M120" i="2" s="1"/>
  <c r="L121" i="2"/>
  <c r="M121" i="2" s="1"/>
  <c r="L122" i="2"/>
  <c r="M122" i="2" s="1"/>
  <c r="L123" i="2"/>
  <c r="M123" i="2" s="1"/>
  <c r="L124" i="2"/>
  <c r="M124" i="2" s="1"/>
  <c r="L125" i="2"/>
  <c r="M125" i="2" s="1"/>
  <c r="L126" i="2"/>
  <c r="M126" i="2" s="1"/>
  <c r="L127" i="2"/>
  <c r="M127" i="2" s="1"/>
  <c r="L128" i="2"/>
  <c r="M128" i="2" s="1"/>
  <c r="L129" i="2"/>
  <c r="M129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0" i="2"/>
  <c r="M140" i="2" s="1"/>
  <c r="L141" i="2"/>
  <c r="M141" i="2" s="1"/>
  <c r="L142" i="2"/>
  <c r="M142" i="2" s="1"/>
  <c r="L143" i="2"/>
  <c r="M143" i="2" s="1"/>
  <c r="L144" i="2"/>
  <c r="M144" i="2" s="1"/>
  <c r="L145" i="2"/>
  <c r="M145" i="2" s="1"/>
  <c r="L146" i="2"/>
  <c r="M146" i="2" s="1"/>
  <c r="L147" i="2"/>
  <c r="M147" i="2" s="1"/>
  <c r="L148" i="2"/>
  <c r="M148" i="2" s="1"/>
  <c r="L149" i="2"/>
  <c r="M149" i="2" s="1"/>
  <c r="L150" i="2"/>
  <c r="M150" i="2" s="1"/>
  <c r="L151" i="2"/>
  <c r="M151" i="2" s="1"/>
  <c r="L152" i="2"/>
  <c r="M152" i="2" s="1"/>
  <c r="L153" i="2"/>
  <c r="M153" i="2" s="1"/>
  <c r="L154" i="2"/>
  <c r="M154" i="2" s="1"/>
  <c r="L155" i="2"/>
  <c r="M155" i="2" s="1"/>
  <c r="L156" i="2"/>
  <c r="M156" i="2" s="1"/>
  <c r="L157" i="2"/>
  <c r="M157" i="2" s="1"/>
  <c r="L158" i="2"/>
  <c r="M158" i="2" s="1"/>
  <c r="L159" i="2"/>
  <c r="M159" i="2" s="1"/>
  <c r="L160" i="2"/>
  <c r="M160" i="2" s="1"/>
  <c r="L161" i="2"/>
  <c r="M161" i="2" s="1"/>
  <c r="L162" i="2"/>
  <c r="M162" i="2" s="1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M168" i="2" s="1"/>
  <c r="L169" i="2"/>
  <c r="M169" i="2" s="1"/>
  <c r="L170" i="2"/>
  <c r="M170" i="2" s="1"/>
  <c r="L171" i="2"/>
  <c r="M171" i="2" s="1"/>
  <c r="L172" i="2"/>
  <c r="M172" i="2" s="1"/>
  <c r="L173" i="2"/>
  <c r="M173" i="2" s="1"/>
  <c r="L174" i="2"/>
  <c r="M174" i="2" s="1"/>
  <c r="L175" i="2"/>
  <c r="M175" i="2" s="1"/>
  <c r="L176" i="2"/>
  <c r="M176" i="2" s="1"/>
  <c r="L177" i="2"/>
  <c r="M177" i="2" s="1"/>
  <c r="L178" i="2"/>
  <c r="M178" i="2" s="1"/>
  <c r="L179" i="2"/>
  <c r="M179" i="2" s="1"/>
  <c r="L180" i="2"/>
  <c r="M180" i="2" s="1"/>
  <c r="L181" i="2"/>
  <c r="M181" i="2" s="1"/>
  <c r="L182" i="2"/>
  <c r="M182" i="2" s="1"/>
  <c r="L183" i="2"/>
  <c r="M183" i="2" s="1"/>
  <c r="L184" i="2"/>
  <c r="M184" i="2" s="1"/>
  <c r="L185" i="2"/>
  <c r="M185" i="2" s="1"/>
  <c r="L186" i="2"/>
  <c r="M186" i="2" s="1"/>
  <c r="L187" i="2"/>
  <c r="M187" i="2" s="1"/>
  <c r="L188" i="2"/>
  <c r="M188" i="2" s="1"/>
  <c r="L189" i="2"/>
  <c r="M189" i="2" s="1"/>
  <c r="L190" i="2"/>
  <c r="M190" i="2" s="1"/>
  <c r="L191" i="2"/>
  <c r="M191" i="2" s="1"/>
  <c r="L192" i="2"/>
  <c r="M192" i="2" s="1"/>
  <c r="L193" i="2"/>
  <c r="M193" i="2" s="1"/>
  <c r="L194" i="2"/>
  <c r="M194" i="2" s="1"/>
  <c r="L195" i="2"/>
  <c r="M195" i="2" s="1"/>
  <c r="L196" i="2"/>
  <c r="M196" i="2" s="1"/>
  <c r="L197" i="2"/>
  <c r="M197" i="2" s="1"/>
  <c r="L198" i="2"/>
  <c r="M198" i="2" s="1"/>
  <c r="L199" i="2"/>
  <c r="M199" i="2" s="1"/>
  <c r="L200" i="2"/>
  <c r="M200" i="2" s="1"/>
  <c r="L201" i="2"/>
  <c r="M201" i="2" s="1"/>
  <c r="L202" i="2"/>
  <c r="M202" i="2" s="1"/>
  <c r="L203" i="2"/>
  <c r="M203" i="2" s="1"/>
  <c r="L204" i="2"/>
  <c r="M204" i="2" s="1"/>
  <c r="L205" i="2"/>
  <c r="M205" i="2" s="1"/>
  <c r="L206" i="2"/>
  <c r="M206" i="2" s="1"/>
  <c r="L207" i="2"/>
  <c r="M207" i="2" s="1"/>
  <c r="L208" i="2"/>
  <c r="M208" i="2" s="1"/>
  <c r="L209" i="2"/>
  <c r="M209" i="2" s="1"/>
  <c r="L210" i="2"/>
  <c r="M210" i="2" s="1"/>
  <c r="L211" i="2"/>
  <c r="M211" i="2" s="1"/>
  <c r="L212" i="2"/>
  <c r="M212" i="2" s="1"/>
  <c r="L213" i="2"/>
  <c r="M213" i="2" s="1"/>
  <c r="L214" i="2"/>
  <c r="M214" i="2" s="1"/>
  <c r="L215" i="2"/>
  <c r="M215" i="2" s="1"/>
  <c r="L216" i="2"/>
  <c r="M216" i="2" s="1"/>
  <c r="L217" i="2"/>
  <c r="M217" i="2" s="1"/>
  <c r="L218" i="2"/>
  <c r="M218" i="2" s="1"/>
  <c r="L219" i="2"/>
  <c r="M219" i="2" s="1"/>
  <c r="L220" i="2"/>
  <c r="M220" i="2" s="1"/>
  <c r="L221" i="2"/>
  <c r="M221" i="2" s="1"/>
  <c r="L222" i="2"/>
  <c r="M222" i="2" s="1"/>
  <c r="L223" i="2"/>
  <c r="M223" i="2" s="1"/>
  <c r="L224" i="2"/>
  <c r="M224" i="2" s="1"/>
  <c r="L225" i="2"/>
  <c r="M225" i="2" s="1"/>
  <c r="L226" i="2"/>
  <c r="M226" i="2" s="1"/>
  <c r="L227" i="2"/>
  <c r="M227" i="2" s="1"/>
  <c r="L228" i="2"/>
  <c r="M228" i="2" s="1"/>
  <c r="L229" i="2"/>
  <c r="M229" i="2" s="1"/>
  <c r="L230" i="2"/>
  <c r="M230" i="2" s="1"/>
  <c r="L231" i="2"/>
  <c r="M231" i="2" s="1"/>
  <c r="L232" i="2"/>
  <c r="M232" i="2" s="1"/>
  <c r="L233" i="2"/>
  <c r="M233" i="2" s="1"/>
  <c r="L234" i="2"/>
  <c r="M234" i="2" s="1"/>
  <c r="L235" i="2"/>
  <c r="M235" i="2" s="1"/>
  <c r="L236" i="2"/>
  <c r="M236" i="2" s="1"/>
  <c r="L237" i="2"/>
  <c r="M237" i="2" s="1"/>
  <c r="L238" i="2"/>
  <c r="M238" i="2" s="1"/>
  <c r="L239" i="2"/>
  <c r="M239" i="2" s="1"/>
  <c r="L240" i="2"/>
  <c r="M240" i="2" s="1"/>
  <c r="L241" i="2"/>
  <c r="M241" i="2" s="1"/>
  <c r="L242" i="2"/>
  <c r="M242" i="2" s="1"/>
  <c r="L243" i="2"/>
  <c r="M243" i="2" s="1"/>
  <c r="L244" i="2"/>
  <c r="M244" i="2" s="1"/>
  <c r="L245" i="2"/>
  <c r="M245" i="2" s="1"/>
  <c r="L246" i="2"/>
  <c r="M246" i="2" s="1"/>
  <c r="L247" i="2"/>
  <c r="M247" i="2" s="1"/>
  <c r="L248" i="2"/>
  <c r="M248" i="2" s="1"/>
  <c r="L249" i="2"/>
  <c r="M249" i="2" s="1"/>
  <c r="L250" i="2"/>
  <c r="M250" i="2" s="1"/>
  <c r="L251" i="2"/>
  <c r="M251" i="2" s="1"/>
  <c r="L252" i="2"/>
  <c r="M252" i="2" s="1"/>
  <c r="L253" i="2"/>
  <c r="M253" i="2" s="1"/>
  <c r="L254" i="2"/>
  <c r="M254" i="2" s="1"/>
  <c r="L255" i="2"/>
  <c r="M255" i="2" s="1"/>
  <c r="L256" i="2"/>
  <c r="M256" i="2" s="1"/>
  <c r="L257" i="2"/>
  <c r="M257" i="2" s="1"/>
  <c r="L258" i="2"/>
  <c r="L259" i="2"/>
  <c r="M259" i="2" s="1"/>
  <c r="L260" i="2"/>
  <c r="M260" i="2" s="1"/>
  <c r="L261" i="2"/>
  <c r="M261" i="2" s="1"/>
  <c r="L262" i="2"/>
  <c r="M262" i="2" s="1"/>
  <c r="L263" i="2"/>
  <c r="M263" i="2" s="1"/>
  <c r="L264" i="2"/>
  <c r="M264" i="2" s="1"/>
  <c r="L265" i="2"/>
  <c r="M265" i="2" s="1"/>
  <c r="L266" i="2"/>
  <c r="M266" i="2" s="1"/>
  <c r="L267" i="2"/>
  <c r="M267" i="2" s="1"/>
  <c r="L268" i="2"/>
  <c r="M268" i="2" s="1"/>
  <c r="L269" i="2"/>
  <c r="M269" i="2" s="1"/>
  <c r="L270" i="2"/>
  <c r="M270" i="2" s="1"/>
  <c r="L271" i="2"/>
  <c r="M271" i="2" s="1"/>
  <c r="L272" i="2"/>
  <c r="M272" i="2" s="1"/>
  <c r="L273" i="2"/>
  <c r="M273" i="2" s="1"/>
  <c r="L274" i="2"/>
  <c r="M274" i="2" s="1"/>
  <c r="L275" i="2"/>
  <c r="M275" i="2" s="1"/>
  <c r="L276" i="2"/>
  <c r="M276" i="2" s="1"/>
  <c r="L277" i="2"/>
  <c r="M277" i="2" s="1"/>
  <c r="L278" i="2"/>
  <c r="M278" i="2" s="1"/>
  <c r="L279" i="2"/>
  <c r="M279" i="2" s="1"/>
  <c r="L280" i="2"/>
  <c r="M280" i="2" s="1"/>
  <c r="L281" i="2"/>
  <c r="M281" i="2" s="1"/>
  <c r="L282" i="2"/>
  <c r="M282" i="2" s="1"/>
  <c r="L283" i="2"/>
  <c r="M283" i="2" s="1"/>
  <c r="L284" i="2"/>
  <c r="M284" i="2" s="1"/>
  <c r="L285" i="2"/>
  <c r="M285" i="2" s="1"/>
  <c r="L286" i="2"/>
  <c r="M286" i="2" s="1"/>
  <c r="L287" i="2"/>
  <c r="M287" i="2" s="1"/>
  <c r="L288" i="2"/>
  <c r="M288" i="2" s="1"/>
  <c r="L289" i="2"/>
  <c r="M289" i="2" s="1"/>
  <c r="L290" i="2"/>
  <c r="M290" i="2" s="1"/>
  <c r="L291" i="2"/>
  <c r="M291" i="2" s="1"/>
  <c r="L292" i="2"/>
  <c r="M292" i="2" s="1"/>
  <c r="L293" i="2"/>
  <c r="M293" i="2" s="1"/>
  <c r="L294" i="2"/>
  <c r="M294" i="2" s="1"/>
  <c r="L295" i="2"/>
  <c r="M295" i="2" s="1"/>
  <c r="L296" i="2"/>
  <c r="M296" i="2" s="1"/>
  <c r="L297" i="2"/>
  <c r="M297" i="2" s="1"/>
  <c r="L298" i="2"/>
  <c r="M298" i="2" s="1"/>
  <c r="L299" i="2"/>
  <c r="M299" i="2" s="1"/>
  <c r="L300" i="2"/>
  <c r="M300" i="2" s="1"/>
  <c r="L301" i="2"/>
  <c r="M301" i="2" s="1"/>
  <c r="L302" i="2"/>
  <c r="M302" i="2" s="1"/>
  <c r="L303" i="2"/>
  <c r="M303" i="2" s="1"/>
  <c r="L304" i="2"/>
  <c r="M304" i="2" s="1"/>
  <c r="L305" i="2"/>
  <c r="M305" i="2" s="1"/>
  <c r="L306" i="2"/>
  <c r="M306" i="2" s="1"/>
  <c r="L307" i="2"/>
  <c r="M307" i="2" s="1"/>
  <c r="L308" i="2"/>
  <c r="M308" i="2" s="1"/>
  <c r="L309" i="2"/>
  <c r="M309" i="2" s="1"/>
  <c r="L310" i="2"/>
  <c r="M310" i="2" s="1"/>
  <c r="L311" i="2"/>
  <c r="M311" i="2" s="1"/>
  <c r="L312" i="2"/>
  <c r="M312" i="2" s="1"/>
  <c r="L313" i="2"/>
  <c r="M313" i="2" s="1"/>
  <c r="L314" i="2"/>
  <c r="M314" i="2" s="1"/>
  <c r="L315" i="2"/>
  <c r="M315" i="2" s="1"/>
  <c r="L316" i="2"/>
  <c r="M316" i="2" s="1"/>
  <c r="L317" i="2"/>
  <c r="M317" i="2" s="1"/>
  <c r="L318" i="2"/>
  <c r="M318" i="2" s="1"/>
  <c r="L319" i="2"/>
  <c r="M319" i="2" s="1"/>
  <c r="L320" i="2"/>
  <c r="M320" i="2" s="1"/>
  <c r="L321" i="2"/>
  <c r="M321" i="2" s="1"/>
  <c r="L322" i="2"/>
  <c r="M322" i="2" s="1"/>
  <c r="L323" i="2"/>
  <c r="M323" i="2" s="1"/>
  <c r="L324" i="2"/>
  <c r="M324" i="2" s="1"/>
  <c r="L325" i="2"/>
  <c r="M325" i="2" s="1"/>
  <c r="L326" i="2"/>
  <c r="M326" i="2" s="1"/>
  <c r="L327" i="2"/>
  <c r="M327" i="2" s="1"/>
  <c r="L328" i="2"/>
  <c r="M328" i="2" s="1"/>
  <c r="L329" i="2"/>
  <c r="M329" i="2" s="1"/>
  <c r="L330" i="2"/>
  <c r="M330" i="2" s="1"/>
  <c r="L331" i="2"/>
  <c r="M331" i="2" s="1"/>
  <c r="L332" i="2"/>
  <c r="M332" i="2" s="1"/>
  <c r="L333" i="2"/>
  <c r="M333" i="2" s="1"/>
  <c r="L334" i="2"/>
  <c r="M334" i="2" s="1"/>
  <c r="L335" i="2"/>
  <c r="M335" i="2" s="1"/>
  <c r="L336" i="2"/>
  <c r="M336" i="2" s="1"/>
  <c r="L337" i="2"/>
  <c r="M337" i="2" s="1"/>
  <c r="L338" i="2"/>
  <c r="M338" i="2" s="1"/>
  <c r="L339" i="2"/>
  <c r="M339" i="2" s="1"/>
  <c r="L340" i="2"/>
  <c r="M340" i="2" s="1"/>
  <c r="L341" i="2"/>
  <c r="M341" i="2" s="1"/>
  <c r="L342" i="2"/>
  <c r="M342" i="2" s="1"/>
  <c r="L343" i="2"/>
  <c r="M343" i="2" s="1"/>
  <c r="L344" i="2"/>
  <c r="M344" i="2" s="1"/>
  <c r="L345" i="2"/>
  <c r="M345" i="2" s="1"/>
  <c r="L346" i="2"/>
  <c r="M346" i="2" s="1"/>
  <c r="L347" i="2"/>
  <c r="M347" i="2" s="1"/>
  <c r="L348" i="2"/>
  <c r="M348" i="2" s="1"/>
  <c r="L349" i="2"/>
  <c r="M349" i="2" s="1"/>
  <c r="L350" i="2"/>
  <c r="M350" i="2" s="1"/>
  <c r="L351" i="2"/>
  <c r="M351" i="2" s="1"/>
  <c r="L352" i="2"/>
  <c r="M352" i="2" s="1"/>
  <c r="L353" i="2"/>
  <c r="M353" i="2" s="1"/>
  <c r="L354" i="2"/>
  <c r="M354" i="2" s="1"/>
  <c r="L355" i="2"/>
  <c r="M355" i="2" s="1"/>
  <c r="L356" i="2"/>
  <c r="M356" i="2" s="1"/>
  <c r="L357" i="2"/>
  <c r="M357" i="2" s="1"/>
  <c r="L358" i="2"/>
  <c r="M358" i="2" s="1"/>
  <c r="L359" i="2"/>
  <c r="M359" i="2" s="1"/>
  <c r="L360" i="2"/>
  <c r="M360" i="2" s="1"/>
  <c r="L361" i="2"/>
  <c r="M361" i="2" s="1"/>
  <c r="L362" i="2"/>
  <c r="M362" i="2" s="1"/>
  <c r="L363" i="2"/>
  <c r="M363" i="2" s="1"/>
  <c r="L364" i="2"/>
  <c r="M364" i="2" s="1"/>
  <c r="L365" i="2"/>
  <c r="M365" i="2" s="1"/>
  <c r="L366" i="2"/>
  <c r="M366" i="2" s="1"/>
  <c r="L367" i="2"/>
  <c r="M367" i="2" s="1"/>
  <c r="L368" i="2"/>
  <c r="M368" i="2" s="1"/>
  <c r="L369" i="2"/>
  <c r="M369" i="2" s="1"/>
  <c r="L4" i="2"/>
  <c r="M4" i="2" s="1"/>
  <c r="K5" i="2"/>
  <c r="K9" i="2"/>
  <c r="K13" i="2"/>
  <c r="K21" i="2"/>
  <c r="K25" i="2"/>
  <c r="K29" i="2"/>
  <c r="K37" i="2"/>
  <c r="K41" i="2"/>
  <c r="K45" i="2"/>
  <c r="K53" i="2"/>
  <c r="K57" i="2"/>
  <c r="K61" i="2"/>
  <c r="K69" i="2"/>
  <c r="K73" i="2"/>
  <c r="K77" i="2"/>
  <c r="K85" i="2"/>
  <c r="K89" i="2"/>
  <c r="K93" i="2"/>
  <c r="K101" i="2"/>
  <c r="K105" i="2"/>
  <c r="K113" i="2"/>
  <c r="K137" i="2"/>
  <c r="K145" i="2"/>
  <c r="K169" i="2"/>
  <c r="K177" i="2"/>
  <c r="K201" i="2"/>
  <c r="K233" i="2"/>
  <c r="K265" i="2"/>
  <c r="K297" i="2"/>
  <c r="K329" i="2"/>
  <c r="K361" i="2"/>
  <c r="J5" i="2"/>
  <c r="J6" i="2"/>
  <c r="K6" i="2" s="1"/>
  <c r="J7" i="2"/>
  <c r="K7" i="2" s="1"/>
  <c r="J8" i="2"/>
  <c r="K8" i="2" s="1"/>
  <c r="J9" i="2"/>
  <c r="J10" i="2"/>
  <c r="K10" i="2" s="1"/>
  <c r="J11" i="2"/>
  <c r="K11" i="2" s="1"/>
  <c r="J12" i="2"/>
  <c r="K12" i="2" s="1"/>
  <c r="J13" i="2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J22" i="2"/>
  <c r="K22" i="2" s="1"/>
  <c r="J23" i="2"/>
  <c r="K23" i="2" s="1"/>
  <c r="J24" i="2"/>
  <c r="K24" i="2" s="1"/>
  <c r="J25" i="2"/>
  <c r="J26" i="2"/>
  <c r="K26" i="2" s="1"/>
  <c r="J27" i="2"/>
  <c r="K27" i="2" s="1"/>
  <c r="J28" i="2"/>
  <c r="K28" i="2" s="1"/>
  <c r="J29" i="2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J38" i="2"/>
  <c r="K38" i="2" s="1"/>
  <c r="J39" i="2"/>
  <c r="K39" i="2" s="1"/>
  <c r="J40" i="2"/>
  <c r="K40" i="2" s="1"/>
  <c r="J41" i="2"/>
  <c r="J42" i="2"/>
  <c r="K42" i="2" s="1"/>
  <c r="J43" i="2"/>
  <c r="K43" i="2" s="1"/>
  <c r="J44" i="2"/>
  <c r="K44" i="2" s="1"/>
  <c r="J45" i="2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J54" i="2"/>
  <c r="K54" i="2" s="1"/>
  <c r="J55" i="2"/>
  <c r="K55" i="2" s="1"/>
  <c r="J56" i="2"/>
  <c r="K56" i="2" s="1"/>
  <c r="J57" i="2"/>
  <c r="J58" i="2"/>
  <c r="K58" i="2" s="1"/>
  <c r="J59" i="2"/>
  <c r="K59" i="2" s="1"/>
  <c r="J60" i="2"/>
  <c r="K60" i="2" s="1"/>
  <c r="J61" i="2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J70" i="2"/>
  <c r="K70" i="2" s="1"/>
  <c r="J71" i="2"/>
  <c r="K71" i="2" s="1"/>
  <c r="J72" i="2"/>
  <c r="K72" i="2" s="1"/>
  <c r="J73" i="2"/>
  <c r="J74" i="2"/>
  <c r="K74" i="2" s="1"/>
  <c r="J75" i="2"/>
  <c r="K75" i="2" s="1"/>
  <c r="J76" i="2"/>
  <c r="K76" i="2" s="1"/>
  <c r="J77" i="2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J86" i="2"/>
  <c r="K86" i="2" s="1"/>
  <c r="J87" i="2"/>
  <c r="K87" i="2" s="1"/>
  <c r="J88" i="2"/>
  <c r="K88" i="2" s="1"/>
  <c r="J89" i="2"/>
  <c r="J90" i="2"/>
  <c r="K90" i="2" s="1"/>
  <c r="J91" i="2"/>
  <c r="K91" i="2" s="1"/>
  <c r="J92" i="2"/>
  <c r="K92" i="2" s="1"/>
  <c r="J93" i="2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J102" i="2"/>
  <c r="K102" i="2" s="1"/>
  <c r="J103" i="2"/>
  <c r="K103" i="2" s="1"/>
  <c r="J104" i="2"/>
  <c r="K104" i="2" s="1"/>
  <c r="J105" i="2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166" i="2"/>
  <c r="K166" i="2" s="1"/>
  <c r="J167" i="2"/>
  <c r="K167" i="2" s="1"/>
  <c r="J168" i="2"/>
  <c r="K168" i="2" s="1"/>
  <c r="J169" i="2"/>
  <c r="J170" i="2"/>
  <c r="K170" i="2" s="1"/>
  <c r="J171" i="2"/>
  <c r="K171" i="2" s="1"/>
  <c r="J172" i="2"/>
  <c r="K172" i="2" s="1"/>
  <c r="J173" i="2"/>
  <c r="K173" i="2" s="1"/>
  <c r="J174" i="2"/>
  <c r="K174" i="2" s="1"/>
  <c r="J175" i="2"/>
  <c r="K175" i="2" s="1"/>
  <c r="J176" i="2"/>
  <c r="K176" i="2" s="1"/>
  <c r="J177" i="2"/>
  <c r="J178" i="2"/>
  <c r="K178" i="2" s="1"/>
  <c r="J179" i="2"/>
  <c r="K179" i="2" s="1"/>
  <c r="J180" i="2"/>
  <c r="K180" i="2" s="1"/>
  <c r="J181" i="2"/>
  <c r="K181" i="2" s="1"/>
  <c r="J182" i="2"/>
  <c r="K182" i="2" s="1"/>
  <c r="J183" i="2"/>
  <c r="K183" i="2" s="1"/>
  <c r="J184" i="2"/>
  <c r="K184" i="2" s="1"/>
  <c r="J185" i="2"/>
  <c r="K185" i="2" s="1"/>
  <c r="J186" i="2"/>
  <c r="K186" i="2" s="1"/>
  <c r="J187" i="2"/>
  <c r="K187" i="2" s="1"/>
  <c r="J188" i="2"/>
  <c r="K188" i="2" s="1"/>
  <c r="J189" i="2"/>
  <c r="K189" i="2" s="1"/>
  <c r="J190" i="2"/>
  <c r="K190" i="2" s="1"/>
  <c r="J191" i="2"/>
  <c r="K191" i="2" s="1"/>
  <c r="J192" i="2"/>
  <c r="K192" i="2" s="1"/>
  <c r="J193" i="2"/>
  <c r="K193" i="2" s="1"/>
  <c r="J194" i="2"/>
  <c r="K194" i="2" s="1"/>
  <c r="J195" i="2"/>
  <c r="K195" i="2" s="1"/>
  <c r="J196" i="2"/>
  <c r="K196" i="2" s="1"/>
  <c r="J197" i="2"/>
  <c r="K197" i="2" s="1"/>
  <c r="J198" i="2"/>
  <c r="K198" i="2" s="1"/>
  <c r="J199" i="2"/>
  <c r="K199" i="2" s="1"/>
  <c r="J200" i="2"/>
  <c r="K200" i="2" s="1"/>
  <c r="J201" i="2"/>
  <c r="J202" i="2"/>
  <c r="K202" i="2" s="1"/>
  <c r="J203" i="2"/>
  <c r="K203" i="2" s="1"/>
  <c r="J204" i="2"/>
  <c r="K204" i="2" s="1"/>
  <c r="J205" i="2"/>
  <c r="K205" i="2" s="1"/>
  <c r="J206" i="2"/>
  <c r="K206" i="2" s="1"/>
  <c r="J207" i="2"/>
  <c r="K207" i="2" s="1"/>
  <c r="J208" i="2"/>
  <c r="K208" i="2" s="1"/>
  <c r="J209" i="2"/>
  <c r="K209" i="2" s="1"/>
  <c r="J210" i="2"/>
  <c r="K210" i="2" s="1"/>
  <c r="J211" i="2"/>
  <c r="K211" i="2" s="1"/>
  <c r="J212" i="2"/>
  <c r="K212" i="2" s="1"/>
  <c r="J213" i="2"/>
  <c r="K213" i="2" s="1"/>
  <c r="J214" i="2"/>
  <c r="K214" i="2" s="1"/>
  <c r="J215" i="2"/>
  <c r="K215" i="2" s="1"/>
  <c r="J216" i="2"/>
  <c r="K216" i="2" s="1"/>
  <c r="J217" i="2"/>
  <c r="K217" i="2" s="1"/>
  <c r="J218" i="2"/>
  <c r="K218" i="2" s="1"/>
  <c r="J219" i="2"/>
  <c r="K219" i="2" s="1"/>
  <c r="J220" i="2"/>
  <c r="K220" i="2" s="1"/>
  <c r="J221" i="2"/>
  <c r="K221" i="2" s="1"/>
  <c r="J222" i="2"/>
  <c r="K222" i="2" s="1"/>
  <c r="J223" i="2"/>
  <c r="K223" i="2" s="1"/>
  <c r="J224" i="2"/>
  <c r="K224" i="2" s="1"/>
  <c r="J225" i="2"/>
  <c r="K225" i="2" s="1"/>
  <c r="J226" i="2"/>
  <c r="K226" i="2" s="1"/>
  <c r="J227" i="2"/>
  <c r="K227" i="2" s="1"/>
  <c r="J228" i="2"/>
  <c r="K228" i="2" s="1"/>
  <c r="J229" i="2"/>
  <c r="K229" i="2" s="1"/>
  <c r="J230" i="2"/>
  <c r="K230" i="2" s="1"/>
  <c r="J231" i="2"/>
  <c r="K231" i="2" s="1"/>
  <c r="J232" i="2"/>
  <c r="K232" i="2" s="1"/>
  <c r="J233" i="2"/>
  <c r="J234" i="2"/>
  <c r="K234" i="2" s="1"/>
  <c r="J235" i="2"/>
  <c r="K235" i="2" s="1"/>
  <c r="J236" i="2"/>
  <c r="K236" i="2" s="1"/>
  <c r="J237" i="2"/>
  <c r="K237" i="2" s="1"/>
  <c r="J238" i="2"/>
  <c r="K238" i="2" s="1"/>
  <c r="J239" i="2"/>
  <c r="K239" i="2" s="1"/>
  <c r="J240" i="2"/>
  <c r="K240" i="2" s="1"/>
  <c r="J241" i="2"/>
  <c r="K241" i="2" s="1"/>
  <c r="J242" i="2"/>
  <c r="K242" i="2" s="1"/>
  <c r="J243" i="2"/>
  <c r="K243" i="2" s="1"/>
  <c r="J244" i="2"/>
  <c r="K244" i="2" s="1"/>
  <c r="J245" i="2"/>
  <c r="K245" i="2" s="1"/>
  <c r="J246" i="2"/>
  <c r="K246" i="2" s="1"/>
  <c r="J247" i="2"/>
  <c r="K247" i="2" s="1"/>
  <c r="J248" i="2"/>
  <c r="K248" i="2" s="1"/>
  <c r="J249" i="2"/>
  <c r="K249" i="2" s="1"/>
  <c r="J250" i="2"/>
  <c r="K250" i="2" s="1"/>
  <c r="J251" i="2"/>
  <c r="K251" i="2" s="1"/>
  <c r="J252" i="2"/>
  <c r="K252" i="2" s="1"/>
  <c r="J253" i="2"/>
  <c r="K253" i="2" s="1"/>
  <c r="J254" i="2"/>
  <c r="K254" i="2" s="1"/>
  <c r="J255" i="2"/>
  <c r="K255" i="2" s="1"/>
  <c r="J256" i="2"/>
  <c r="K256" i="2" s="1"/>
  <c r="J257" i="2"/>
  <c r="K257" i="2" s="1"/>
  <c r="J258" i="2"/>
  <c r="K258" i="2" s="1"/>
  <c r="J259" i="2"/>
  <c r="K259" i="2" s="1"/>
  <c r="J260" i="2"/>
  <c r="K260" i="2" s="1"/>
  <c r="J261" i="2"/>
  <c r="K261" i="2" s="1"/>
  <c r="J262" i="2"/>
  <c r="K262" i="2" s="1"/>
  <c r="J263" i="2"/>
  <c r="K263" i="2" s="1"/>
  <c r="J264" i="2"/>
  <c r="K264" i="2" s="1"/>
  <c r="J265" i="2"/>
  <c r="J266" i="2"/>
  <c r="K266" i="2" s="1"/>
  <c r="J267" i="2"/>
  <c r="K267" i="2" s="1"/>
  <c r="J268" i="2"/>
  <c r="K268" i="2" s="1"/>
  <c r="J269" i="2"/>
  <c r="K269" i="2" s="1"/>
  <c r="J270" i="2"/>
  <c r="K270" i="2" s="1"/>
  <c r="J271" i="2"/>
  <c r="K271" i="2" s="1"/>
  <c r="J272" i="2"/>
  <c r="K272" i="2" s="1"/>
  <c r="J273" i="2"/>
  <c r="K273" i="2" s="1"/>
  <c r="J274" i="2"/>
  <c r="K274" i="2" s="1"/>
  <c r="J275" i="2"/>
  <c r="K275" i="2" s="1"/>
  <c r="J276" i="2"/>
  <c r="K276" i="2" s="1"/>
  <c r="J277" i="2"/>
  <c r="K277" i="2" s="1"/>
  <c r="J278" i="2"/>
  <c r="K278" i="2" s="1"/>
  <c r="J279" i="2"/>
  <c r="K279" i="2" s="1"/>
  <c r="J280" i="2"/>
  <c r="K280" i="2" s="1"/>
  <c r="J281" i="2"/>
  <c r="K281" i="2" s="1"/>
  <c r="J282" i="2"/>
  <c r="K282" i="2" s="1"/>
  <c r="J283" i="2"/>
  <c r="K283" i="2" s="1"/>
  <c r="J284" i="2"/>
  <c r="K284" i="2" s="1"/>
  <c r="J285" i="2"/>
  <c r="K285" i="2" s="1"/>
  <c r="J286" i="2"/>
  <c r="K286" i="2" s="1"/>
  <c r="J287" i="2"/>
  <c r="K287" i="2" s="1"/>
  <c r="J288" i="2"/>
  <c r="K288" i="2" s="1"/>
  <c r="J289" i="2"/>
  <c r="K289" i="2" s="1"/>
  <c r="J290" i="2"/>
  <c r="K290" i="2" s="1"/>
  <c r="J291" i="2"/>
  <c r="K291" i="2" s="1"/>
  <c r="J292" i="2"/>
  <c r="K292" i="2" s="1"/>
  <c r="J293" i="2"/>
  <c r="K293" i="2" s="1"/>
  <c r="J294" i="2"/>
  <c r="K294" i="2" s="1"/>
  <c r="J295" i="2"/>
  <c r="K295" i="2" s="1"/>
  <c r="J296" i="2"/>
  <c r="K296" i="2" s="1"/>
  <c r="J297" i="2"/>
  <c r="J298" i="2"/>
  <c r="K298" i="2" s="1"/>
  <c r="J299" i="2"/>
  <c r="K299" i="2" s="1"/>
  <c r="J300" i="2"/>
  <c r="K300" i="2" s="1"/>
  <c r="J301" i="2"/>
  <c r="K301" i="2" s="1"/>
  <c r="J302" i="2"/>
  <c r="K302" i="2" s="1"/>
  <c r="J303" i="2"/>
  <c r="K303" i="2" s="1"/>
  <c r="J304" i="2"/>
  <c r="K304" i="2" s="1"/>
  <c r="J305" i="2"/>
  <c r="K305" i="2" s="1"/>
  <c r="J306" i="2"/>
  <c r="K306" i="2" s="1"/>
  <c r="J307" i="2"/>
  <c r="K307" i="2" s="1"/>
  <c r="J308" i="2"/>
  <c r="K308" i="2" s="1"/>
  <c r="J309" i="2"/>
  <c r="K309" i="2" s="1"/>
  <c r="J310" i="2"/>
  <c r="K310" i="2" s="1"/>
  <c r="J311" i="2"/>
  <c r="K311" i="2" s="1"/>
  <c r="J312" i="2"/>
  <c r="K312" i="2" s="1"/>
  <c r="J313" i="2"/>
  <c r="K313" i="2" s="1"/>
  <c r="J314" i="2"/>
  <c r="K314" i="2" s="1"/>
  <c r="J315" i="2"/>
  <c r="K315" i="2" s="1"/>
  <c r="J316" i="2"/>
  <c r="K316" i="2" s="1"/>
  <c r="J317" i="2"/>
  <c r="K317" i="2" s="1"/>
  <c r="J318" i="2"/>
  <c r="K318" i="2" s="1"/>
  <c r="J319" i="2"/>
  <c r="K319" i="2" s="1"/>
  <c r="J320" i="2"/>
  <c r="K320" i="2" s="1"/>
  <c r="J321" i="2"/>
  <c r="K321" i="2" s="1"/>
  <c r="J322" i="2"/>
  <c r="K322" i="2" s="1"/>
  <c r="J323" i="2"/>
  <c r="K323" i="2" s="1"/>
  <c r="J324" i="2"/>
  <c r="K324" i="2" s="1"/>
  <c r="J325" i="2"/>
  <c r="K325" i="2" s="1"/>
  <c r="J326" i="2"/>
  <c r="K326" i="2" s="1"/>
  <c r="J327" i="2"/>
  <c r="K327" i="2" s="1"/>
  <c r="J328" i="2"/>
  <c r="K328" i="2" s="1"/>
  <c r="J329" i="2"/>
  <c r="J330" i="2"/>
  <c r="K330" i="2" s="1"/>
  <c r="J331" i="2"/>
  <c r="K331" i="2" s="1"/>
  <c r="J332" i="2"/>
  <c r="K332" i="2" s="1"/>
  <c r="J333" i="2"/>
  <c r="K333" i="2" s="1"/>
  <c r="J334" i="2"/>
  <c r="K334" i="2" s="1"/>
  <c r="J335" i="2"/>
  <c r="K335" i="2" s="1"/>
  <c r="J336" i="2"/>
  <c r="K336" i="2" s="1"/>
  <c r="J337" i="2"/>
  <c r="K337" i="2" s="1"/>
  <c r="J338" i="2"/>
  <c r="K338" i="2" s="1"/>
  <c r="J339" i="2"/>
  <c r="K339" i="2" s="1"/>
  <c r="J340" i="2"/>
  <c r="K340" i="2" s="1"/>
  <c r="J341" i="2"/>
  <c r="K341" i="2" s="1"/>
  <c r="J342" i="2"/>
  <c r="K342" i="2" s="1"/>
  <c r="J343" i="2"/>
  <c r="K343" i="2" s="1"/>
  <c r="J344" i="2"/>
  <c r="K344" i="2" s="1"/>
  <c r="J345" i="2"/>
  <c r="K345" i="2" s="1"/>
  <c r="J346" i="2"/>
  <c r="K346" i="2" s="1"/>
  <c r="J347" i="2"/>
  <c r="K347" i="2" s="1"/>
  <c r="J348" i="2"/>
  <c r="K348" i="2" s="1"/>
  <c r="J349" i="2"/>
  <c r="K349" i="2" s="1"/>
  <c r="J350" i="2"/>
  <c r="K350" i="2" s="1"/>
  <c r="J351" i="2"/>
  <c r="K351" i="2" s="1"/>
  <c r="J352" i="2"/>
  <c r="K352" i="2" s="1"/>
  <c r="J353" i="2"/>
  <c r="K353" i="2" s="1"/>
  <c r="J354" i="2"/>
  <c r="K354" i="2" s="1"/>
  <c r="J355" i="2"/>
  <c r="K355" i="2" s="1"/>
  <c r="J356" i="2"/>
  <c r="K356" i="2" s="1"/>
  <c r="J357" i="2"/>
  <c r="K357" i="2" s="1"/>
  <c r="J358" i="2"/>
  <c r="K358" i="2" s="1"/>
  <c r="J359" i="2"/>
  <c r="K359" i="2" s="1"/>
  <c r="J360" i="2"/>
  <c r="K360" i="2" s="1"/>
  <c r="J361" i="2"/>
  <c r="J362" i="2"/>
  <c r="K362" i="2" s="1"/>
  <c r="J363" i="2"/>
  <c r="K363" i="2" s="1"/>
  <c r="J364" i="2"/>
  <c r="K364" i="2" s="1"/>
  <c r="J365" i="2"/>
  <c r="K365" i="2" s="1"/>
  <c r="J366" i="2"/>
  <c r="K366" i="2" s="1"/>
  <c r="J367" i="2"/>
  <c r="K367" i="2" s="1"/>
  <c r="J368" i="2"/>
  <c r="K368" i="2" s="1"/>
  <c r="J369" i="2"/>
  <c r="K369" i="2" s="1"/>
  <c r="J4" i="2"/>
  <c r="K4" i="2" s="1"/>
  <c r="I205" i="2"/>
  <c r="I257" i="2"/>
  <c r="I289" i="2"/>
  <c r="I321" i="2"/>
  <c r="I349" i="2"/>
  <c r="I369" i="2"/>
  <c r="H369" i="2"/>
  <c r="H368" i="2"/>
  <c r="I368" i="2" s="1"/>
  <c r="H367" i="2"/>
  <c r="I367" i="2" s="1"/>
  <c r="H366" i="2"/>
  <c r="I366" i="2" s="1"/>
  <c r="H365" i="2"/>
  <c r="I365" i="2" s="1"/>
  <c r="H364" i="2"/>
  <c r="I364" i="2" s="1"/>
  <c r="H363" i="2"/>
  <c r="I363" i="2" s="1"/>
  <c r="H362" i="2"/>
  <c r="I362" i="2" s="1"/>
  <c r="H361" i="2"/>
  <c r="I361" i="2" s="1"/>
  <c r="H360" i="2"/>
  <c r="I360" i="2" s="1"/>
  <c r="H359" i="2"/>
  <c r="I359" i="2" s="1"/>
  <c r="H358" i="2"/>
  <c r="I358" i="2" s="1"/>
  <c r="H357" i="2"/>
  <c r="I357" i="2" s="1"/>
  <c r="H356" i="2"/>
  <c r="I356" i="2" s="1"/>
  <c r="H355" i="2"/>
  <c r="I355" i="2" s="1"/>
  <c r="H354" i="2"/>
  <c r="I354" i="2" s="1"/>
  <c r="H353" i="2"/>
  <c r="I353" i="2" s="1"/>
  <c r="H352" i="2"/>
  <c r="I352" i="2" s="1"/>
  <c r="H351" i="2"/>
  <c r="I351" i="2" s="1"/>
  <c r="H350" i="2"/>
  <c r="I350" i="2" s="1"/>
  <c r="H349" i="2"/>
  <c r="H348" i="2"/>
  <c r="I348" i="2" s="1"/>
  <c r="H347" i="2"/>
  <c r="I347" i="2" s="1"/>
  <c r="H346" i="2"/>
  <c r="I346" i="2" s="1"/>
  <c r="H345" i="2"/>
  <c r="I345" i="2" s="1"/>
  <c r="H344" i="2"/>
  <c r="I344" i="2" s="1"/>
  <c r="H343" i="2"/>
  <c r="I343" i="2" s="1"/>
  <c r="H342" i="2"/>
  <c r="I342" i="2" s="1"/>
  <c r="H341" i="2"/>
  <c r="I341" i="2" s="1"/>
  <c r="H340" i="2"/>
  <c r="I340" i="2" s="1"/>
  <c r="H339" i="2"/>
  <c r="I339" i="2" s="1"/>
  <c r="H338" i="2"/>
  <c r="I338" i="2" s="1"/>
  <c r="H337" i="2"/>
  <c r="I337" i="2" s="1"/>
  <c r="H336" i="2"/>
  <c r="I336" i="2" s="1"/>
  <c r="H335" i="2"/>
  <c r="I335" i="2" s="1"/>
  <c r="H334" i="2"/>
  <c r="I334" i="2" s="1"/>
  <c r="H333" i="2"/>
  <c r="I333" i="2" s="1"/>
  <c r="H332" i="2"/>
  <c r="I332" i="2" s="1"/>
  <c r="H331" i="2"/>
  <c r="I331" i="2" s="1"/>
  <c r="H330" i="2"/>
  <c r="I330" i="2" s="1"/>
  <c r="H329" i="2"/>
  <c r="I329" i="2" s="1"/>
  <c r="H328" i="2"/>
  <c r="I328" i="2" s="1"/>
  <c r="H327" i="2"/>
  <c r="I327" i="2" s="1"/>
  <c r="H326" i="2"/>
  <c r="I326" i="2" s="1"/>
  <c r="H325" i="2"/>
  <c r="I325" i="2" s="1"/>
  <c r="H324" i="2"/>
  <c r="I324" i="2" s="1"/>
  <c r="H323" i="2"/>
  <c r="I323" i="2" s="1"/>
  <c r="H322" i="2"/>
  <c r="I322" i="2" s="1"/>
  <c r="H321" i="2"/>
  <c r="H320" i="2"/>
  <c r="I320" i="2" s="1"/>
  <c r="H319" i="2"/>
  <c r="I319" i="2" s="1"/>
  <c r="H318" i="2"/>
  <c r="I318" i="2" s="1"/>
  <c r="H317" i="2"/>
  <c r="I317" i="2" s="1"/>
  <c r="H316" i="2"/>
  <c r="I316" i="2" s="1"/>
  <c r="H315" i="2"/>
  <c r="I315" i="2" s="1"/>
  <c r="H314" i="2"/>
  <c r="I314" i="2" s="1"/>
  <c r="H313" i="2"/>
  <c r="I313" i="2" s="1"/>
  <c r="H312" i="2"/>
  <c r="I312" i="2" s="1"/>
  <c r="H311" i="2"/>
  <c r="I311" i="2" s="1"/>
  <c r="H310" i="2"/>
  <c r="I310" i="2" s="1"/>
  <c r="H309" i="2"/>
  <c r="I309" i="2" s="1"/>
  <c r="H308" i="2"/>
  <c r="I308" i="2" s="1"/>
  <c r="H307" i="2"/>
  <c r="I307" i="2" s="1"/>
  <c r="H306" i="2"/>
  <c r="I306" i="2" s="1"/>
  <c r="H305" i="2"/>
  <c r="I305" i="2" s="1"/>
  <c r="H304" i="2"/>
  <c r="I304" i="2" s="1"/>
  <c r="H303" i="2"/>
  <c r="I303" i="2" s="1"/>
  <c r="H302" i="2"/>
  <c r="I302" i="2" s="1"/>
  <c r="H301" i="2"/>
  <c r="I301" i="2" s="1"/>
  <c r="H300" i="2"/>
  <c r="I300" i="2" s="1"/>
  <c r="H299" i="2"/>
  <c r="I299" i="2" s="1"/>
  <c r="H298" i="2"/>
  <c r="I298" i="2" s="1"/>
  <c r="H297" i="2"/>
  <c r="I297" i="2" s="1"/>
  <c r="H296" i="2"/>
  <c r="I296" i="2" s="1"/>
  <c r="H295" i="2"/>
  <c r="I295" i="2" s="1"/>
  <c r="H294" i="2"/>
  <c r="I294" i="2" s="1"/>
  <c r="H293" i="2"/>
  <c r="I293" i="2" s="1"/>
  <c r="H292" i="2"/>
  <c r="I292" i="2" s="1"/>
  <c r="H291" i="2"/>
  <c r="I291" i="2" s="1"/>
  <c r="H290" i="2"/>
  <c r="I290" i="2" s="1"/>
  <c r="H289" i="2"/>
  <c r="H288" i="2"/>
  <c r="I288" i="2" s="1"/>
  <c r="H287" i="2"/>
  <c r="I287" i="2" s="1"/>
  <c r="H286" i="2"/>
  <c r="I286" i="2" s="1"/>
  <c r="H285" i="2"/>
  <c r="I285" i="2" s="1"/>
  <c r="H284" i="2"/>
  <c r="I284" i="2" s="1"/>
  <c r="H283" i="2"/>
  <c r="I283" i="2" s="1"/>
  <c r="H282" i="2"/>
  <c r="I282" i="2" s="1"/>
  <c r="H281" i="2"/>
  <c r="I281" i="2" s="1"/>
  <c r="H280" i="2"/>
  <c r="I280" i="2" s="1"/>
  <c r="H279" i="2"/>
  <c r="I279" i="2" s="1"/>
  <c r="H278" i="2"/>
  <c r="I278" i="2" s="1"/>
  <c r="H277" i="2"/>
  <c r="I277" i="2" s="1"/>
  <c r="H276" i="2"/>
  <c r="I276" i="2" s="1"/>
  <c r="H275" i="2"/>
  <c r="I275" i="2" s="1"/>
  <c r="H274" i="2"/>
  <c r="I274" i="2" s="1"/>
  <c r="H273" i="2"/>
  <c r="I273" i="2" s="1"/>
  <c r="H272" i="2"/>
  <c r="I272" i="2" s="1"/>
  <c r="H271" i="2"/>
  <c r="I271" i="2" s="1"/>
  <c r="H270" i="2"/>
  <c r="I270" i="2" s="1"/>
  <c r="H269" i="2"/>
  <c r="I269" i="2" s="1"/>
  <c r="H268" i="2"/>
  <c r="I268" i="2" s="1"/>
  <c r="H267" i="2"/>
  <c r="I267" i="2" s="1"/>
  <c r="H266" i="2"/>
  <c r="I266" i="2" s="1"/>
  <c r="H265" i="2"/>
  <c r="I265" i="2" s="1"/>
  <c r="H264" i="2"/>
  <c r="I264" i="2" s="1"/>
  <c r="H263" i="2"/>
  <c r="I263" i="2" s="1"/>
  <c r="H262" i="2"/>
  <c r="I262" i="2" s="1"/>
  <c r="H261" i="2"/>
  <c r="I261" i="2" s="1"/>
  <c r="H260" i="2"/>
  <c r="I260" i="2" s="1"/>
  <c r="H259" i="2"/>
  <c r="I259" i="2" s="1"/>
  <c r="H258" i="2"/>
  <c r="I258" i="2" s="1"/>
  <c r="H257" i="2"/>
  <c r="H256" i="2"/>
  <c r="I256" i="2" s="1"/>
  <c r="H255" i="2"/>
  <c r="I255" i="2" s="1"/>
  <c r="H254" i="2"/>
  <c r="I254" i="2" s="1"/>
  <c r="H253" i="2"/>
  <c r="I253" i="2" s="1"/>
  <c r="H252" i="2"/>
  <c r="I252" i="2" s="1"/>
  <c r="H251" i="2"/>
  <c r="I251" i="2" s="1"/>
  <c r="H250" i="2"/>
  <c r="I250" i="2" s="1"/>
  <c r="H249" i="2"/>
  <c r="I249" i="2" s="1"/>
  <c r="H248" i="2"/>
  <c r="I248" i="2" s="1"/>
  <c r="H247" i="2"/>
  <c r="I247" i="2" s="1"/>
  <c r="H246" i="2"/>
  <c r="I246" i="2" s="1"/>
  <c r="H245" i="2"/>
  <c r="I245" i="2" s="1"/>
  <c r="H244" i="2"/>
  <c r="I244" i="2" s="1"/>
  <c r="H243" i="2"/>
  <c r="I243" i="2" s="1"/>
  <c r="H242" i="2"/>
  <c r="I242" i="2" s="1"/>
  <c r="H241" i="2"/>
  <c r="I241" i="2" s="1"/>
  <c r="H240" i="2"/>
  <c r="I240" i="2" s="1"/>
  <c r="H239" i="2"/>
  <c r="I239" i="2" s="1"/>
  <c r="H238" i="2"/>
  <c r="I238" i="2" s="1"/>
  <c r="H237" i="2"/>
  <c r="I237" i="2" s="1"/>
  <c r="H236" i="2"/>
  <c r="I236" i="2" s="1"/>
  <c r="H235" i="2"/>
  <c r="I235" i="2" s="1"/>
  <c r="H234" i="2"/>
  <c r="I234" i="2" s="1"/>
  <c r="H233" i="2"/>
  <c r="I233" i="2" s="1"/>
  <c r="H232" i="2"/>
  <c r="I232" i="2" s="1"/>
  <c r="H231" i="2"/>
  <c r="I231" i="2" s="1"/>
  <c r="H230" i="2"/>
  <c r="I230" i="2" s="1"/>
  <c r="H229" i="2"/>
  <c r="I229" i="2" s="1"/>
  <c r="H228" i="2"/>
  <c r="I228" i="2" s="1"/>
  <c r="H227" i="2"/>
  <c r="I227" i="2" s="1"/>
  <c r="H226" i="2"/>
  <c r="I226" i="2" s="1"/>
  <c r="H225" i="2"/>
  <c r="I225" i="2" s="1"/>
  <c r="H224" i="2"/>
  <c r="I224" i="2" s="1"/>
  <c r="H223" i="2"/>
  <c r="I223" i="2" s="1"/>
  <c r="H222" i="2"/>
  <c r="I222" i="2" s="1"/>
  <c r="H221" i="2"/>
  <c r="I221" i="2" s="1"/>
  <c r="H220" i="2"/>
  <c r="I220" i="2" s="1"/>
  <c r="H219" i="2"/>
  <c r="I219" i="2" s="1"/>
  <c r="H218" i="2"/>
  <c r="I218" i="2" s="1"/>
  <c r="H217" i="2"/>
  <c r="I217" i="2" s="1"/>
  <c r="H216" i="2"/>
  <c r="I216" i="2" s="1"/>
  <c r="H215" i="2"/>
  <c r="I215" i="2" s="1"/>
  <c r="H214" i="2"/>
  <c r="I214" i="2" s="1"/>
  <c r="H213" i="2"/>
  <c r="I213" i="2" s="1"/>
  <c r="H212" i="2"/>
  <c r="I212" i="2" s="1"/>
  <c r="H211" i="2"/>
  <c r="I211" i="2" s="1"/>
  <c r="H210" i="2"/>
  <c r="I210" i="2" s="1"/>
  <c r="H209" i="2"/>
  <c r="I209" i="2" s="1"/>
  <c r="H208" i="2"/>
  <c r="I208" i="2" s="1"/>
  <c r="H207" i="2"/>
  <c r="I207" i="2" s="1"/>
  <c r="H206" i="2"/>
  <c r="I206" i="2" s="1"/>
  <c r="H205" i="2"/>
  <c r="H204" i="2"/>
  <c r="I204" i="2" s="1"/>
  <c r="H203" i="2"/>
  <c r="I203" i="2" s="1"/>
  <c r="H202" i="2"/>
  <c r="I202" i="2" s="1"/>
  <c r="H201" i="2"/>
  <c r="I201" i="2" s="1"/>
  <c r="H200" i="2"/>
  <c r="I200" i="2" s="1"/>
  <c r="H199" i="2"/>
  <c r="I199" i="2" s="1"/>
  <c r="H198" i="2"/>
  <c r="I198" i="2" s="1"/>
  <c r="H197" i="2"/>
  <c r="I197" i="2" s="1"/>
  <c r="H196" i="2"/>
  <c r="I196" i="2" s="1"/>
  <c r="H195" i="2"/>
  <c r="I195" i="2" s="1"/>
  <c r="H194" i="2"/>
  <c r="I194" i="2" s="1"/>
  <c r="H193" i="2"/>
  <c r="I193" i="2" s="1"/>
  <c r="H192" i="2"/>
  <c r="I192" i="2" s="1"/>
  <c r="H191" i="2"/>
  <c r="I191" i="2" s="1"/>
  <c r="H190" i="2"/>
  <c r="I190" i="2" s="1"/>
  <c r="H189" i="2"/>
  <c r="I189" i="2" s="1"/>
  <c r="H188" i="2"/>
  <c r="I188" i="2" s="1"/>
  <c r="H187" i="2"/>
  <c r="I187" i="2" s="1"/>
  <c r="H186" i="2"/>
  <c r="I186" i="2" s="1"/>
  <c r="H185" i="2"/>
  <c r="I185" i="2" s="1"/>
  <c r="H184" i="2"/>
  <c r="I184" i="2" s="1"/>
  <c r="H183" i="2"/>
  <c r="I183" i="2" s="1"/>
  <c r="H182" i="2"/>
  <c r="I182" i="2" s="1"/>
  <c r="H181" i="2"/>
  <c r="I181" i="2" s="1"/>
  <c r="H180" i="2"/>
  <c r="I180" i="2" s="1"/>
  <c r="H179" i="2"/>
  <c r="I179" i="2" s="1"/>
  <c r="H178" i="2"/>
  <c r="I178" i="2" s="1"/>
  <c r="H177" i="2"/>
  <c r="I177" i="2" s="1"/>
  <c r="H176" i="2"/>
  <c r="I176" i="2" s="1"/>
  <c r="H175" i="2"/>
  <c r="I175" i="2" s="1"/>
  <c r="H174" i="2"/>
  <c r="I174" i="2" s="1"/>
  <c r="H173" i="2"/>
  <c r="I173" i="2" s="1"/>
  <c r="H172" i="2"/>
  <c r="I172" i="2" s="1"/>
  <c r="H171" i="2"/>
  <c r="I171" i="2" s="1"/>
  <c r="H170" i="2"/>
  <c r="I170" i="2" s="1"/>
  <c r="H169" i="2"/>
  <c r="I169" i="2" s="1"/>
  <c r="H168" i="2"/>
  <c r="I168" i="2" s="1"/>
  <c r="H167" i="2"/>
  <c r="I167" i="2" s="1"/>
  <c r="H166" i="2"/>
  <c r="I166" i="2" s="1"/>
  <c r="H165" i="2"/>
  <c r="I165" i="2" s="1"/>
  <c r="H164" i="2"/>
  <c r="I164" i="2" s="1"/>
  <c r="H163" i="2"/>
  <c r="I163" i="2" s="1"/>
  <c r="H162" i="2"/>
  <c r="I162" i="2" s="1"/>
  <c r="H161" i="2"/>
  <c r="I161" i="2" s="1"/>
  <c r="H160" i="2"/>
  <c r="I160" i="2" s="1"/>
  <c r="H159" i="2"/>
  <c r="I159" i="2" s="1"/>
  <c r="H158" i="2"/>
  <c r="I158" i="2" s="1"/>
  <c r="H157" i="2"/>
  <c r="I157" i="2" s="1"/>
  <c r="H156" i="2"/>
  <c r="I156" i="2" s="1"/>
  <c r="H155" i="2"/>
  <c r="I155" i="2" s="1"/>
  <c r="H154" i="2"/>
  <c r="I154" i="2" s="1"/>
  <c r="H153" i="2"/>
  <c r="I153" i="2" s="1"/>
  <c r="H152" i="2"/>
  <c r="I152" i="2" s="1"/>
  <c r="H151" i="2"/>
  <c r="I151" i="2" s="1"/>
  <c r="H150" i="2"/>
  <c r="I150" i="2" s="1"/>
  <c r="H149" i="2"/>
  <c r="I149" i="2" s="1"/>
  <c r="H148" i="2"/>
  <c r="I148" i="2" s="1"/>
  <c r="H147" i="2"/>
  <c r="I147" i="2" s="1"/>
  <c r="H146" i="2"/>
  <c r="I146" i="2" s="1"/>
  <c r="H145" i="2"/>
  <c r="I145" i="2" s="1"/>
  <c r="H144" i="2"/>
  <c r="I144" i="2" s="1"/>
  <c r="H143" i="2"/>
  <c r="I143" i="2" s="1"/>
  <c r="H142" i="2"/>
  <c r="I142" i="2" s="1"/>
  <c r="H141" i="2"/>
  <c r="I141" i="2" s="1"/>
  <c r="H140" i="2"/>
  <c r="I140" i="2" s="1"/>
  <c r="H139" i="2"/>
  <c r="I139" i="2" s="1"/>
  <c r="H138" i="2"/>
  <c r="I138" i="2" s="1"/>
  <c r="H137" i="2"/>
  <c r="I137" i="2" s="1"/>
  <c r="H136" i="2"/>
  <c r="I136" i="2" s="1"/>
  <c r="H135" i="2"/>
  <c r="I135" i="2" s="1"/>
  <c r="H134" i="2"/>
  <c r="I134" i="2" s="1"/>
  <c r="H133" i="2"/>
  <c r="I133" i="2" s="1"/>
  <c r="H132" i="2"/>
  <c r="I132" i="2" s="1"/>
  <c r="H131" i="2"/>
  <c r="I131" i="2" s="1"/>
  <c r="H130" i="2"/>
  <c r="I130" i="2" s="1"/>
  <c r="H129" i="2"/>
  <c r="I129" i="2" s="1"/>
  <c r="H128" i="2"/>
  <c r="I128" i="2" s="1"/>
  <c r="H127" i="2"/>
  <c r="I127" i="2" s="1"/>
  <c r="H126" i="2"/>
  <c r="I126" i="2" s="1"/>
  <c r="H125" i="2"/>
  <c r="I125" i="2" s="1"/>
  <c r="H124" i="2"/>
  <c r="I124" i="2" s="1"/>
  <c r="H123" i="2"/>
  <c r="I123" i="2" s="1"/>
  <c r="H122" i="2"/>
  <c r="I122" i="2" s="1"/>
  <c r="H121" i="2"/>
  <c r="I121" i="2" s="1"/>
  <c r="H120" i="2"/>
  <c r="I120" i="2" s="1"/>
  <c r="H119" i="2"/>
  <c r="I119" i="2" s="1"/>
  <c r="H118" i="2"/>
  <c r="I118" i="2" s="1"/>
  <c r="H117" i="2"/>
  <c r="I117" i="2" s="1"/>
  <c r="H116" i="2"/>
  <c r="I116" i="2" s="1"/>
  <c r="H115" i="2"/>
  <c r="I115" i="2" s="1"/>
  <c r="H114" i="2"/>
  <c r="I114" i="2" s="1"/>
  <c r="H113" i="2"/>
  <c r="I113" i="2" s="1"/>
  <c r="H112" i="2"/>
  <c r="I112" i="2" s="1"/>
  <c r="H111" i="2"/>
  <c r="I111" i="2" s="1"/>
  <c r="H110" i="2"/>
  <c r="I110" i="2" s="1"/>
  <c r="H109" i="2"/>
  <c r="I109" i="2" s="1"/>
  <c r="H108" i="2"/>
  <c r="I108" i="2" s="1"/>
  <c r="H107" i="2"/>
  <c r="I107" i="2" s="1"/>
  <c r="H106" i="2"/>
  <c r="I106" i="2" s="1"/>
  <c r="H105" i="2"/>
  <c r="I105" i="2" s="1"/>
  <c r="H104" i="2"/>
  <c r="I104" i="2" s="1"/>
  <c r="H103" i="2"/>
  <c r="I103" i="2" s="1"/>
  <c r="H102" i="2"/>
  <c r="I102" i="2" s="1"/>
  <c r="H101" i="2"/>
  <c r="I101" i="2" s="1"/>
  <c r="H100" i="2"/>
  <c r="I100" i="2" s="1"/>
  <c r="H99" i="2"/>
  <c r="I99" i="2" s="1"/>
  <c r="H98" i="2"/>
  <c r="I98" i="2" s="1"/>
  <c r="H97" i="2"/>
  <c r="I97" i="2" s="1"/>
  <c r="H96" i="2"/>
  <c r="I96" i="2" s="1"/>
  <c r="H95" i="2"/>
  <c r="I95" i="2" s="1"/>
  <c r="H94" i="2"/>
  <c r="I94" i="2" s="1"/>
  <c r="H93" i="2"/>
  <c r="I93" i="2" s="1"/>
  <c r="H92" i="2"/>
  <c r="I92" i="2" s="1"/>
  <c r="H91" i="2"/>
  <c r="I91" i="2" s="1"/>
  <c r="H90" i="2"/>
  <c r="I90" i="2" s="1"/>
  <c r="H89" i="2"/>
  <c r="I89" i="2" s="1"/>
  <c r="H88" i="2"/>
  <c r="I88" i="2" s="1"/>
  <c r="H87" i="2"/>
  <c r="I87" i="2" s="1"/>
  <c r="H86" i="2"/>
  <c r="I86" i="2" s="1"/>
  <c r="H85" i="2"/>
  <c r="I85" i="2" s="1"/>
  <c r="H84" i="2"/>
  <c r="I84" i="2" s="1"/>
  <c r="H83" i="2"/>
  <c r="I83" i="2" s="1"/>
  <c r="H82" i="2"/>
  <c r="I82" i="2" s="1"/>
  <c r="H81" i="2"/>
  <c r="I81" i="2" s="1"/>
  <c r="H80" i="2"/>
  <c r="I80" i="2" s="1"/>
  <c r="H79" i="2"/>
  <c r="I79" i="2" s="1"/>
  <c r="H78" i="2"/>
  <c r="I78" i="2" s="1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70" i="2"/>
  <c r="I70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2" i="2"/>
  <c r="I62" i="2" s="1"/>
  <c r="H61" i="2"/>
  <c r="I61" i="2" s="1"/>
  <c r="H60" i="2"/>
  <c r="I60" i="2" s="1"/>
  <c r="H59" i="2"/>
  <c r="I59" i="2" s="1"/>
  <c r="H58" i="2"/>
  <c r="I58" i="2" s="1"/>
  <c r="H57" i="2"/>
  <c r="I57" i="2" s="1"/>
  <c r="H56" i="2"/>
  <c r="I56" i="2" s="1"/>
  <c r="H55" i="2"/>
  <c r="I55" i="2" s="1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C7" i="4"/>
  <c r="D7" i="4"/>
  <c r="B7" i="4"/>
  <c r="D6" i="4"/>
  <c r="C6" i="4"/>
  <c r="D5" i="4"/>
  <c r="C5" i="4"/>
  <c r="B5" i="4"/>
  <c r="D9" i="3"/>
  <c r="C9" i="3"/>
  <c r="B9" i="3"/>
  <c r="D8" i="3"/>
  <c r="C8" i="3"/>
  <c r="B8" i="3"/>
  <c r="D7" i="3"/>
  <c r="C7" i="3"/>
  <c r="B7" i="3"/>
  <c r="D4" i="3"/>
  <c r="C4" i="3"/>
  <c r="D5" i="3"/>
  <c r="C5" i="3"/>
  <c r="B5" i="3"/>
  <c r="B4" i="3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5" i="2"/>
  <c r="B8" i="4" l="1"/>
  <c r="C8" i="4"/>
  <c r="D8" i="4"/>
  <c r="D6" i="3"/>
  <c r="C6" i="3"/>
  <c r="B6" i="3" l="1"/>
</calcChain>
</file>

<file path=xl/sharedStrings.xml><?xml version="1.0" encoding="utf-8"?>
<sst xmlns="http://schemas.openxmlformats.org/spreadsheetml/2006/main" count="74" uniqueCount="64">
  <si>
    <t>HORIZON TECHX – TASK 2: CRYPTOCURRENCY PORTFOLIO ANALYSIS</t>
  </si>
  <si>
    <t>Prepared By</t>
  </si>
  <si>
    <t>Joshna Darupally</t>
  </si>
  <si>
    <t>Analysis Period</t>
  </si>
  <si>
    <t>30 Sep 2025 – 30 Sep 2026</t>
  </si>
  <si>
    <t>Cryptocurrencies</t>
  </si>
  <si>
    <t>BTC, XMR, SOL</t>
  </si>
  <si>
    <t>Cryptocurrency</t>
  </si>
  <si>
    <t>Start Price</t>
  </si>
  <si>
    <t>End Price</t>
  </si>
  <si>
    <t>12-Month Return</t>
  </si>
  <si>
    <t>Bitcoin (BTC)</t>
  </si>
  <si>
    <t>Monero (XMR)</t>
  </si>
  <si>
    <t>Solana (SOL)</t>
  </si>
  <si>
    <t>COMPARISON TABLE</t>
  </si>
  <si>
    <t>Date</t>
  </si>
  <si>
    <t>Bitcoin(BTC) Price</t>
  </si>
  <si>
    <t>Monero(XMR) Price</t>
  </si>
  <si>
    <t>Solana(SOL) Price</t>
  </si>
  <si>
    <t>HISTRORICAL PRICES COVERING FROM 30 SEPTEMBER, 2025 to 30 SEPTEMBER, 2026.</t>
  </si>
  <si>
    <t>BTC Return</t>
  </si>
  <si>
    <t>XMR Return</t>
  </si>
  <si>
    <t>SOL Return</t>
  </si>
  <si>
    <t>PERFORMANCE</t>
  </si>
  <si>
    <t>Metric</t>
  </si>
  <si>
    <t>BTC</t>
  </si>
  <si>
    <t>XMR</t>
  </si>
  <si>
    <t>SOL</t>
  </si>
  <si>
    <t>Starting Price</t>
  </si>
  <si>
    <t>Ending Price</t>
  </si>
  <si>
    <t>Highest Price</t>
  </si>
  <si>
    <t>Lowest Price</t>
  </si>
  <si>
    <t>Average Daily Return</t>
  </si>
  <si>
    <t>RISK ANALYSIS</t>
  </si>
  <si>
    <t>Risk Metric</t>
  </si>
  <si>
    <t>Daily Volatility</t>
  </si>
  <si>
    <t>Annualized Volatility</t>
  </si>
  <si>
    <t>Maximum Drawdown</t>
  </si>
  <si>
    <t>BTC Running High</t>
  </si>
  <si>
    <t>BTC Drawdown</t>
  </si>
  <si>
    <t>XMR Running High</t>
  </si>
  <si>
    <t>SOL Running High</t>
  </si>
  <si>
    <t>XMR Drawdown</t>
  </si>
  <si>
    <t>SOL Drawdown</t>
  </si>
  <si>
    <t>CHARTS</t>
  </si>
  <si>
    <t>Chart 2 — Return Comparison</t>
  </si>
  <si>
    <t>Chart 3-Volatility Comparison</t>
  </si>
  <si>
    <t>Chart 1- 12-Month Price Trend</t>
  </si>
  <si>
    <t>Portfolio Allocation</t>
  </si>
  <si>
    <t>BTC 50%, XMR 25%, SOL 25%</t>
  </si>
  <si>
    <t>Allocation</t>
  </si>
  <si>
    <t>Starting Value</t>
  </si>
  <si>
    <t>Portfolio Analysis</t>
  </si>
  <si>
    <t>Then:</t>
  </si>
  <si>
    <t>BTC = ₹50,000</t>
  </si>
  <si>
    <t>XMR = ₹25,000</t>
  </si>
  <si>
    <t>SOL = ₹25,000</t>
  </si>
  <si>
    <t>Ending Value = Starting Value × (1 + Return)</t>
  </si>
  <si>
    <t>Let Starting value is ₹10,00,000</t>
  </si>
  <si>
    <t>Approx. Ending Value</t>
  </si>
  <si>
    <t xml:space="preserve"> Return</t>
  </si>
  <si>
    <t>TOTAL</t>
  </si>
  <si>
    <t>Portfolio return</t>
  </si>
  <si>
    <t>Chart 4- Portfolio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</si>
</sst>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0" xfId="0" applyFont="1"/>
    <xf numFmtId="0" fontId="2" fillId="0" borderId="0" xfId="0" applyFont="1"/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9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5" fontId="0" fillId="0" borderId="0" xfId="0" applyNumberFormat="1"/>
    <xf numFmtId="0" fontId="10" fillId="0" borderId="0" xfId="0" applyFont="1"/>
    <xf numFmtId="0" fontId="4" fillId="0" borderId="0" xfId="0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9" fontId="0" fillId="0" borderId="0" xfId="1" applyFont="1"/>
    <xf numFmtId="2" fontId="0" fillId="0" borderId="0" xfId="0" applyNumberFormat="1"/>
    <xf numFmtId="4" fontId="0" fillId="0" borderId="0" xfId="0" applyNumberFormat="1"/>
    <xf numFmtId="4" fontId="10" fillId="0" borderId="0" xfId="0" applyNumberFormat="1" applyFont="1"/>
    <xf numFmtId="10" fontId="10" fillId="0" borderId="0" xfId="1" applyNumberFormat="1" applyFont="1"/>
    <xf numFmtId="9" fontId="10" fillId="0" borderId="0" xfId="1" applyFont="1"/>
    <xf numFmtId="0" fontId="11" fillId="0" borderId="1" xfId="0" applyFont="1" applyBorder="1" applyAlignment="1">
      <alignment wrapText="1"/>
    </xf>
    <xf numFmtId="4" fontId="11" fillId="0" borderId="1" xfId="0" applyNumberFormat="1" applyFont="1" applyBorder="1" applyAlignment="1">
      <alignment horizontal="right" wrapText="1"/>
    </xf>
    <xf numFmtId="10" fontId="11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right" wrapText="1"/>
    </xf>
    <xf numFmtId="10" fontId="11" fillId="0" borderId="1" xfId="0" applyNumberFormat="1" applyFont="1" applyBorder="1" applyAlignment="1">
      <alignment horizontal="right" wrapText="1"/>
    </xf>
    <xf numFmtId="0" fontId="7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vertical="center"/>
    </xf>
    <xf numFmtId="4" fontId="11" fillId="0" borderId="1" xfId="0" applyNumberFormat="1" applyFont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center"/>
    </xf>
    <xf numFmtId="10" fontId="10" fillId="0" borderId="0" xfId="0" applyNumberFormat="1" applyFont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9" fontId="0" fillId="0" borderId="0" xfId="1" applyFont="1" applyAlignment="1">
      <alignment vertical="center" wrapText="1"/>
    </xf>
    <xf numFmtId="9" fontId="0" fillId="0" borderId="0" xfId="1" applyNumberFormat="1" applyFont="1" applyAlignment="1">
      <alignment vertical="center" wrapText="1"/>
    </xf>
    <xf numFmtId="9" fontId="0" fillId="0" borderId="0" xfId="0" applyNumberFormat="1"/>
    <xf numFmtId="0" fontId="1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9" fontId="3" fillId="0" borderId="1" xfId="0" applyNumberFormat="1" applyFont="1" applyBorder="1" applyAlignment="1">
      <alignment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9" fontId="2" fillId="0" borderId="0" xfId="0" applyNumberFormat="1" applyFont="1"/>
    <xf numFmtId="0" fontId="0" fillId="0" borderId="0" xfId="0" applyNumberFormat="1" applyAlignment="1">
      <alignment vertical="center" wrapText="1"/>
    </xf>
    <xf numFmtId="0" fontId="2" fillId="0" borderId="0" xfId="0" applyNumberFormat="1" applyFont="1"/>
    <xf numFmtId="0" fontId="10" fillId="0" borderId="0" xfId="0" applyNumberFormat="1" applyFont="1" applyAlignment="1">
      <alignment vertical="center" wrapText="1"/>
    </xf>
    <xf numFmtId="168" fontId="10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12-Month Cryptocurrency Price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percentStacked"/>
        <c:varyColors val="0"/>
        <c:ser>
          <c:idx val="3"/>
          <c:order val="0"/>
          <c:tx>
            <c:strRef>
              <c:f>Summary!$A$9</c:f>
              <c:strCache>
                <c:ptCount val="1"/>
                <c:pt idx="0">
                  <c:v>Bitcoin (BTC)</c:v>
                </c:pt>
              </c:strCache>
            </c:strRef>
          </c:tx>
          <c:marker>
            <c:symbol val="none"/>
          </c:marker>
          <c:cat>
            <c:strRef>
              <c:f>Summary!$B$8:$D$8</c:f>
              <c:strCache>
                <c:ptCount val="3"/>
                <c:pt idx="0">
                  <c:v>Start Price</c:v>
                </c:pt>
                <c:pt idx="1">
                  <c:v>End Price</c:v>
                </c:pt>
                <c:pt idx="2">
                  <c:v>12-Month Return</c:v>
                </c:pt>
              </c:strCache>
            </c:strRef>
          </c:cat>
          <c:val>
            <c:numRef>
              <c:f>Summary!$B$9:$D$9</c:f>
              <c:numCache>
                <c:formatCode>#,##0.00</c:formatCode>
                <c:ptCount val="3"/>
                <c:pt idx="0">
                  <c:v>114056.08</c:v>
                </c:pt>
                <c:pt idx="1">
                  <c:v>83553.850000000006</c:v>
                </c:pt>
                <c:pt idx="2" formatCode="0.00%">
                  <c:v>-0.26743186334301511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460-4CED-BBDD-15B0A093C4EA}"/>
            </c:ext>
          </c:extLst>
        </c:ser>
        <c:ser>
          <c:idx val="4"/>
          <c:order val="1"/>
          <c:tx>
            <c:strRef>
              <c:f>Summary!$A$10</c:f>
              <c:strCache>
                <c:ptCount val="1"/>
                <c:pt idx="0">
                  <c:v>Monero (XMR)</c:v>
                </c:pt>
              </c:strCache>
            </c:strRef>
          </c:tx>
          <c:marker>
            <c:symbol val="none"/>
          </c:marker>
          <c:cat>
            <c:strRef>
              <c:f>Summary!$B$8:$D$8</c:f>
              <c:strCache>
                <c:ptCount val="3"/>
                <c:pt idx="0">
                  <c:v>Start Price</c:v>
                </c:pt>
                <c:pt idx="1">
                  <c:v>End Price</c:v>
                </c:pt>
                <c:pt idx="2">
                  <c:v>12-Month Return</c:v>
                </c:pt>
              </c:strCache>
            </c:strRef>
          </c:cat>
          <c:val>
            <c:numRef>
              <c:f>Summary!$B$10:$D$10</c:f>
              <c:numCache>
                <c:formatCode>General</c:formatCode>
                <c:ptCount val="3"/>
                <c:pt idx="0">
                  <c:v>295.33</c:v>
                </c:pt>
                <c:pt idx="1">
                  <c:v>544.45000000000005</c:v>
                </c:pt>
                <c:pt idx="2" formatCode="0.00%">
                  <c:v>0.84353096536078309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460-4CED-BBDD-15B0A093C4EA}"/>
            </c:ext>
          </c:extLst>
        </c:ser>
        <c:ser>
          <c:idx val="5"/>
          <c:order val="2"/>
          <c:tx>
            <c:strRef>
              <c:f>Summary!$A$11</c:f>
              <c:strCache>
                <c:ptCount val="1"/>
                <c:pt idx="0">
                  <c:v>Solana (SOL)</c:v>
                </c:pt>
              </c:strCache>
            </c:strRef>
          </c:tx>
          <c:marker>
            <c:symbol val="none"/>
          </c:marker>
          <c:cat>
            <c:strRef>
              <c:f>Summary!$B$8:$D$8</c:f>
              <c:strCache>
                <c:ptCount val="3"/>
                <c:pt idx="0">
                  <c:v>Start Price</c:v>
                </c:pt>
                <c:pt idx="1">
                  <c:v>End Price</c:v>
                </c:pt>
                <c:pt idx="2">
                  <c:v>12-Month Return</c:v>
                </c:pt>
              </c:strCache>
            </c:strRef>
          </c:cat>
          <c:val>
            <c:numRef>
              <c:f>Summary!$B$11:$D$11</c:f>
              <c:numCache>
                <c:formatCode>General</c:formatCode>
                <c:ptCount val="3"/>
                <c:pt idx="0">
                  <c:v>208.74</c:v>
                </c:pt>
                <c:pt idx="1">
                  <c:v>117.99</c:v>
                </c:pt>
                <c:pt idx="2" formatCode="0.00%">
                  <c:v>-0.43475136533486641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460-4CED-BBDD-15B0A093C4EA}"/>
            </c:ext>
          </c:extLst>
        </c:ser>
        <c:ser>
          <c:idx val="0"/>
          <c:order val="3"/>
          <c:tx>
            <c:strRef>
              <c:f>'Histrorical Data'!$B$3</c:f>
              <c:strCache>
                <c:ptCount val="1"/>
                <c:pt idx="0">
                  <c:v>Bitcoin(BTC)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'Histrorical Data'!$A$4:$A$369</c:f>
              <c:numCache>
                <c:formatCode>[$-F800]dddd\,\ mmmm\ dd\,\ yyyy</c:formatCode>
                <c:ptCount val="366"/>
                <c:pt idx="0">
                  <c:v>45930</c:v>
                </c:pt>
                <c:pt idx="1">
                  <c:v>45931</c:v>
                </c:pt>
                <c:pt idx="2">
                  <c:v>45932</c:v>
                </c:pt>
                <c:pt idx="3">
                  <c:v>45933</c:v>
                </c:pt>
                <c:pt idx="4">
                  <c:v>45934</c:v>
                </c:pt>
                <c:pt idx="5">
                  <c:v>45935</c:v>
                </c:pt>
                <c:pt idx="6">
                  <c:v>45936</c:v>
                </c:pt>
                <c:pt idx="7">
                  <c:v>45937</c:v>
                </c:pt>
                <c:pt idx="8">
                  <c:v>45938</c:v>
                </c:pt>
                <c:pt idx="9">
                  <c:v>45939</c:v>
                </c:pt>
                <c:pt idx="10">
                  <c:v>45940</c:v>
                </c:pt>
                <c:pt idx="11">
                  <c:v>45941</c:v>
                </c:pt>
                <c:pt idx="12">
                  <c:v>45942</c:v>
                </c:pt>
                <c:pt idx="13">
                  <c:v>45943</c:v>
                </c:pt>
                <c:pt idx="14">
                  <c:v>45944</c:v>
                </c:pt>
                <c:pt idx="15">
                  <c:v>45945</c:v>
                </c:pt>
                <c:pt idx="16">
                  <c:v>45946</c:v>
                </c:pt>
                <c:pt idx="17">
                  <c:v>45947</c:v>
                </c:pt>
                <c:pt idx="18">
                  <c:v>45948</c:v>
                </c:pt>
                <c:pt idx="19">
                  <c:v>45949</c:v>
                </c:pt>
                <c:pt idx="20">
                  <c:v>45950</c:v>
                </c:pt>
                <c:pt idx="21">
                  <c:v>45951</c:v>
                </c:pt>
                <c:pt idx="22">
                  <c:v>45952</c:v>
                </c:pt>
                <c:pt idx="23">
                  <c:v>45953</c:v>
                </c:pt>
                <c:pt idx="24">
                  <c:v>45954</c:v>
                </c:pt>
                <c:pt idx="25">
                  <c:v>45955</c:v>
                </c:pt>
                <c:pt idx="26">
                  <c:v>45956</c:v>
                </c:pt>
                <c:pt idx="27">
                  <c:v>45957</c:v>
                </c:pt>
                <c:pt idx="28">
                  <c:v>45958</c:v>
                </c:pt>
                <c:pt idx="29">
                  <c:v>45959</c:v>
                </c:pt>
                <c:pt idx="30">
                  <c:v>45960</c:v>
                </c:pt>
                <c:pt idx="31">
                  <c:v>45961</c:v>
                </c:pt>
                <c:pt idx="32">
                  <c:v>45962</c:v>
                </c:pt>
                <c:pt idx="33">
                  <c:v>45963</c:v>
                </c:pt>
                <c:pt idx="34">
                  <c:v>45964</c:v>
                </c:pt>
                <c:pt idx="35">
                  <c:v>45965</c:v>
                </c:pt>
                <c:pt idx="36">
                  <c:v>45966</c:v>
                </c:pt>
                <c:pt idx="37">
                  <c:v>45967</c:v>
                </c:pt>
                <c:pt idx="38">
                  <c:v>45968</c:v>
                </c:pt>
                <c:pt idx="39">
                  <c:v>45969</c:v>
                </c:pt>
                <c:pt idx="40">
                  <c:v>45970</c:v>
                </c:pt>
                <c:pt idx="41">
                  <c:v>45971</c:v>
                </c:pt>
                <c:pt idx="42">
                  <c:v>45972</c:v>
                </c:pt>
                <c:pt idx="43">
                  <c:v>45973</c:v>
                </c:pt>
                <c:pt idx="44">
                  <c:v>45974</c:v>
                </c:pt>
                <c:pt idx="45">
                  <c:v>45975</c:v>
                </c:pt>
                <c:pt idx="46">
                  <c:v>45976</c:v>
                </c:pt>
                <c:pt idx="47">
                  <c:v>45977</c:v>
                </c:pt>
                <c:pt idx="48">
                  <c:v>45978</c:v>
                </c:pt>
                <c:pt idx="49">
                  <c:v>45979</c:v>
                </c:pt>
                <c:pt idx="50">
                  <c:v>45980</c:v>
                </c:pt>
                <c:pt idx="51">
                  <c:v>45981</c:v>
                </c:pt>
                <c:pt idx="52">
                  <c:v>45982</c:v>
                </c:pt>
                <c:pt idx="53">
                  <c:v>45983</c:v>
                </c:pt>
                <c:pt idx="54">
                  <c:v>45984</c:v>
                </c:pt>
                <c:pt idx="55">
                  <c:v>45985</c:v>
                </c:pt>
                <c:pt idx="56">
                  <c:v>45986</c:v>
                </c:pt>
                <c:pt idx="57">
                  <c:v>45987</c:v>
                </c:pt>
                <c:pt idx="58">
                  <c:v>45988</c:v>
                </c:pt>
                <c:pt idx="59">
                  <c:v>45989</c:v>
                </c:pt>
                <c:pt idx="60">
                  <c:v>45990</c:v>
                </c:pt>
                <c:pt idx="61">
                  <c:v>45991</c:v>
                </c:pt>
                <c:pt idx="62">
                  <c:v>45992</c:v>
                </c:pt>
                <c:pt idx="63">
                  <c:v>45993</c:v>
                </c:pt>
                <c:pt idx="64">
                  <c:v>45994</c:v>
                </c:pt>
                <c:pt idx="65">
                  <c:v>45995</c:v>
                </c:pt>
                <c:pt idx="66">
                  <c:v>45996</c:v>
                </c:pt>
                <c:pt idx="67">
                  <c:v>45997</c:v>
                </c:pt>
                <c:pt idx="68">
                  <c:v>45998</c:v>
                </c:pt>
                <c:pt idx="69">
                  <c:v>45999</c:v>
                </c:pt>
                <c:pt idx="70">
                  <c:v>46000</c:v>
                </c:pt>
                <c:pt idx="71">
                  <c:v>46001</c:v>
                </c:pt>
                <c:pt idx="72">
                  <c:v>46002</c:v>
                </c:pt>
                <c:pt idx="73">
                  <c:v>46003</c:v>
                </c:pt>
                <c:pt idx="74">
                  <c:v>46004</c:v>
                </c:pt>
                <c:pt idx="75">
                  <c:v>46005</c:v>
                </c:pt>
                <c:pt idx="76">
                  <c:v>46006</c:v>
                </c:pt>
                <c:pt idx="77">
                  <c:v>46007</c:v>
                </c:pt>
                <c:pt idx="78">
                  <c:v>46008</c:v>
                </c:pt>
                <c:pt idx="79">
                  <c:v>46009</c:v>
                </c:pt>
                <c:pt idx="80">
                  <c:v>46010</c:v>
                </c:pt>
                <c:pt idx="81">
                  <c:v>46011</c:v>
                </c:pt>
                <c:pt idx="82">
                  <c:v>46012</c:v>
                </c:pt>
                <c:pt idx="83">
                  <c:v>46013</c:v>
                </c:pt>
                <c:pt idx="84">
                  <c:v>46014</c:v>
                </c:pt>
                <c:pt idx="85">
                  <c:v>46015</c:v>
                </c:pt>
                <c:pt idx="86">
                  <c:v>46016</c:v>
                </c:pt>
                <c:pt idx="87">
                  <c:v>46017</c:v>
                </c:pt>
                <c:pt idx="88">
                  <c:v>46018</c:v>
                </c:pt>
                <c:pt idx="89">
                  <c:v>46019</c:v>
                </c:pt>
                <c:pt idx="90">
                  <c:v>46020</c:v>
                </c:pt>
                <c:pt idx="91">
                  <c:v>46021</c:v>
                </c:pt>
                <c:pt idx="92">
                  <c:v>46022</c:v>
                </c:pt>
                <c:pt idx="93">
                  <c:v>46023</c:v>
                </c:pt>
                <c:pt idx="94">
                  <c:v>46024</c:v>
                </c:pt>
                <c:pt idx="95">
                  <c:v>46025</c:v>
                </c:pt>
                <c:pt idx="96">
                  <c:v>46026</c:v>
                </c:pt>
                <c:pt idx="97">
                  <c:v>46027</c:v>
                </c:pt>
                <c:pt idx="98">
                  <c:v>46028</c:v>
                </c:pt>
                <c:pt idx="99">
                  <c:v>46029</c:v>
                </c:pt>
                <c:pt idx="100">
                  <c:v>46030</c:v>
                </c:pt>
                <c:pt idx="101">
                  <c:v>46031</c:v>
                </c:pt>
                <c:pt idx="102">
                  <c:v>46032</c:v>
                </c:pt>
                <c:pt idx="103">
                  <c:v>46033</c:v>
                </c:pt>
                <c:pt idx="104">
                  <c:v>46034</c:v>
                </c:pt>
                <c:pt idx="105">
                  <c:v>46035</c:v>
                </c:pt>
                <c:pt idx="106">
                  <c:v>46036</c:v>
                </c:pt>
                <c:pt idx="107">
                  <c:v>46037</c:v>
                </c:pt>
                <c:pt idx="108">
                  <c:v>46038</c:v>
                </c:pt>
                <c:pt idx="109">
                  <c:v>46039</c:v>
                </c:pt>
                <c:pt idx="110">
                  <c:v>46040</c:v>
                </c:pt>
                <c:pt idx="111">
                  <c:v>46041</c:v>
                </c:pt>
                <c:pt idx="112">
                  <c:v>46042</c:v>
                </c:pt>
                <c:pt idx="113">
                  <c:v>46043</c:v>
                </c:pt>
                <c:pt idx="114">
                  <c:v>46044</c:v>
                </c:pt>
                <c:pt idx="115">
                  <c:v>46045</c:v>
                </c:pt>
                <c:pt idx="116">
                  <c:v>46046</c:v>
                </c:pt>
                <c:pt idx="117">
                  <c:v>46047</c:v>
                </c:pt>
                <c:pt idx="118">
                  <c:v>46048</c:v>
                </c:pt>
                <c:pt idx="119">
                  <c:v>46049</c:v>
                </c:pt>
                <c:pt idx="120">
                  <c:v>46050</c:v>
                </c:pt>
                <c:pt idx="121">
                  <c:v>46051</c:v>
                </c:pt>
                <c:pt idx="122">
                  <c:v>46052</c:v>
                </c:pt>
                <c:pt idx="123">
                  <c:v>46053</c:v>
                </c:pt>
                <c:pt idx="124">
                  <c:v>46054</c:v>
                </c:pt>
                <c:pt idx="125">
                  <c:v>46055</c:v>
                </c:pt>
                <c:pt idx="126">
                  <c:v>46056</c:v>
                </c:pt>
                <c:pt idx="127">
                  <c:v>46057</c:v>
                </c:pt>
                <c:pt idx="128">
                  <c:v>46058</c:v>
                </c:pt>
                <c:pt idx="129">
                  <c:v>46059</c:v>
                </c:pt>
                <c:pt idx="130">
                  <c:v>46060</c:v>
                </c:pt>
                <c:pt idx="131">
                  <c:v>46061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46068</c:v>
                </c:pt>
                <c:pt idx="139">
                  <c:v>46069</c:v>
                </c:pt>
                <c:pt idx="140">
                  <c:v>46070</c:v>
                </c:pt>
                <c:pt idx="141">
                  <c:v>46071</c:v>
                </c:pt>
                <c:pt idx="142">
                  <c:v>46072</c:v>
                </c:pt>
                <c:pt idx="143">
                  <c:v>46073</c:v>
                </c:pt>
                <c:pt idx="144">
                  <c:v>46074</c:v>
                </c:pt>
                <c:pt idx="145">
                  <c:v>46075</c:v>
                </c:pt>
                <c:pt idx="146">
                  <c:v>46076</c:v>
                </c:pt>
                <c:pt idx="147">
                  <c:v>46077</c:v>
                </c:pt>
                <c:pt idx="148">
                  <c:v>46078</c:v>
                </c:pt>
                <c:pt idx="149">
                  <c:v>46079</c:v>
                </c:pt>
                <c:pt idx="150">
                  <c:v>46080</c:v>
                </c:pt>
                <c:pt idx="151">
                  <c:v>46081</c:v>
                </c:pt>
                <c:pt idx="152">
                  <c:v>46082</c:v>
                </c:pt>
                <c:pt idx="153">
                  <c:v>46083</c:v>
                </c:pt>
                <c:pt idx="154">
                  <c:v>46084</c:v>
                </c:pt>
                <c:pt idx="155">
                  <c:v>46085</c:v>
                </c:pt>
                <c:pt idx="156">
                  <c:v>46086</c:v>
                </c:pt>
                <c:pt idx="157">
                  <c:v>46087</c:v>
                </c:pt>
                <c:pt idx="158">
                  <c:v>46088</c:v>
                </c:pt>
                <c:pt idx="159">
                  <c:v>46089</c:v>
                </c:pt>
                <c:pt idx="160">
                  <c:v>46090</c:v>
                </c:pt>
                <c:pt idx="161">
                  <c:v>46091</c:v>
                </c:pt>
                <c:pt idx="162">
                  <c:v>46092</c:v>
                </c:pt>
                <c:pt idx="163">
                  <c:v>46093</c:v>
                </c:pt>
                <c:pt idx="164">
                  <c:v>46094</c:v>
                </c:pt>
                <c:pt idx="165">
                  <c:v>46095</c:v>
                </c:pt>
                <c:pt idx="166">
                  <c:v>46096</c:v>
                </c:pt>
                <c:pt idx="167">
                  <c:v>46097</c:v>
                </c:pt>
                <c:pt idx="168">
                  <c:v>46098</c:v>
                </c:pt>
                <c:pt idx="169">
                  <c:v>46099</c:v>
                </c:pt>
                <c:pt idx="170">
                  <c:v>46100</c:v>
                </c:pt>
                <c:pt idx="171">
                  <c:v>46101</c:v>
                </c:pt>
                <c:pt idx="172">
                  <c:v>46102</c:v>
                </c:pt>
                <c:pt idx="173">
                  <c:v>46103</c:v>
                </c:pt>
                <c:pt idx="174">
                  <c:v>46104</c:v>
                </c:pt>
                <c:pt idx="175">
                  <c:v>46105</c:v>
                </c:pt>
                <c:pt idx="176">
                  <c:v>46106</c:v>
                </c:pt>
                <c:pt idx="177">
                  <c:v>46107</c:v>
                </c:pt>
                <c:pt idx="178">
                  <c:v>46108</c:v>
                </c:pt>
                <c:pt idx="179">
                  <c:v>46109</c:v>
                </c:pt>
                <c:pt idx="180">
                  <c:v>46110</c:v>
                </c:pt>
                <c:pt idx="181">
                  <c:v>46111</c:v>
                </c:pt>
                <c:pt idx="182">
                  <c:v>46112</c:v>
                </c:pt>
                <c:pt idx="183">
                  <c:v>46113</c:v>
                </c:pt>
                <c:pt idx="184">
                  <c:v>46114</c:v>
                </c:pt>
                <c:pt idx="185">
                  <c:v>46115</c:v>
                </c:pt>
                <c:pt idx="186">
                  <c:v>46116</c:v>
                </c:pt>
                <c:pt idx="187">
                  <c:v>46117</c:v>
                </c:pt>
                <c:pt idx="188">
                  <c:v>46118</c:v>
                </c:pt>
                <c:pt idx="189">
                  <c:v>46119</c:v>
                </c:pt>
                <c:pt idx="190">
                  <c:v>46120</c:v>
                </c:pt>
                <c:pt idx="191">
                  <c:v>46121</c:v>
                </c:pt>
                <c:pt idx="192">
                  <c:v>46122</c:v>
                </c:pt>
                <c:pt idx="193">
                  <c:v>46123</c:v>
                </c:pt>
                <c:pt idx="194">
                  <c:v>46124</c:v>
                </c:pt>
                <c:pt idx="195">
                  <c:v>46125</c:v>
                </c:pt>
                <c:pt idx="196">
                  <c:v>46126</c:v>
                </c:pt>
                <c:pt idx="197">
                  <c:v>46127</c:v>
                </c:pt>
                <c:pt idx="198">
                  <c:v>46128</c:v>
                </c:pt>
                <c:pt idx="199">
                  <c:v>46129</c:v>
                </c:pt>
                <c:pt idx="200">
                  <c:v>46130</c:v>
                </c:pt>
                <c:pt idx="201">
                  <c:v>46131</c:v>
                </c:pt>
                <c:pt idx="202">
                  <c:v>46132</c:v>
                </c:pt>
                <c:pt idx="203">
                  <c:v>46133</c:v>
                </c:pt>
                <c:pt idx="204">
                  <c:v>46134</c:v>
                </c:pt>
                <c:pt idx="205">
                  <c:v>46135</c:v>
                </c:pt>
                <c:pt idx="206">
                  <c:v>46136</c:v>
                </c:pt>
                <c:pt idx="207">
                  <c:v>46137</c:v>
                </c:pt>
                <c:pt idx="208">
                  <c:v>46138</c:v>
                </c:pt>
                <c:pt idx="209">
                  <c:v>46139</c:v>
                </c:pt>
                <c:pt idx="210">
                  <c:v>46140</c:v>
                </c:pt>
                <c:pt idx="211">
                  <c:v>46141</c:v>
                </c:pt>
                <c:pt idx="212">
                  <c:v>46142</c:v>
                </c:pt>
                <c:pt idx="213">
                  <c:v>46143</c:v>
                </c:pt>
                <c:pt idx="214">
                  <c:v>46144</c:v>
                </c:pt>
                <c:pt idx="215">
                  <c:v>46145</c:v>
                </c:pt>
                <c:pt idx="216">
                  <c:v>46146</c:v>
                </c:pt>
                <c:pt idx="217">
                  <c:v>46147</c:v>
                </c:pt>
                <c:pt idx="218">
                  <c:v>46148</c:v>
                </c:pt>
                <c:pt idx="219">
                  <c:v>46149</c:v>
                </c:pt>
                <c:pt idx="220">
                  <c:v>46150</c:v>
                </c:pt>
                <c:pt idx="221">
                  <c:v>46151</c:v>
                </c:pt>
                <c:pt idx="222">
                  <c:v>46152</c:v>
                </c:pt>
                <c:pt idx="223">
                  <c:v>46153</c:v>
                </c:pt>
                <c:pt idx="224">
                  <c:v>46154</c:v>
                </c:pt>
                <c:pt idx="225">
                  <c:v>46155</c:v>
                </c:pt>
                <c:pt idx="226">
                  <c:v>46156</c:v>
                </c:pt>
                <c:pt idx="227">
                  <c:v>46157</c:v>
                </c:pt>
                <c:pt idx="228">
                  <c:v>46158</c:v>
                </c:pt>
                <c:pt idx="229">
                  <c:v>46159</c:v>
                </c:pt>
                <c:pt idx="230">
                  <c:v>46160</c:v>
                </c:pt>
                <c:pt idx="231">
                  <c:v>46161</c:v>
                </c:pt>
                <c:pt idx="232">
                  <c:v>46162</c:v>
                </c:pt>
                <c:pt idx="233">
                  <c:v>46163</c:v>
                </c:pt>
                <c:pt idx="234">
                  <c:v>46164</c:v>
                </c:pt>
                <c:pt idx="235">
                  <c:v>46165</c:v>
                </c:pt>
                <c:pt idx="236">
                  <c:v>46166</c:v>
                </c:pt>
                <c:pt idx="237">
                  <c:v>46167</c:v>
                </c:pt>
                <c:pt idx="238">
                  <c:v>46168</c:v>
                </c:pt>
                <c:pt idx="239">
                  <c:v>46169</c:v>
                </c:pt>
                <c:pt idx="240">
                  <c:v>46170</c:v>
                </c:pt>
                <c:pt idx="241">
                  <c:v>46171</c:v>
                </c:pt>
                <c:pt idx="242">
                  <c:v>46172</c:v>
                </c:pt>
                <c:pt idx="243">
                  <c:v>46173</c:v>
                </c:pt>
                <c:pt idx="244">
                  <c:v>46174</c:v>
                </c:pt>
                <c:pt idx="245">
                  <c:v>46175</c:v>
                </c:pt>
                <c:pt idx="246">
                  <c:v>46176</c:v>
                </c:pt>
                <c:pt idx="247">
                  <c:v>46177</c:v>
                </c:pt>
                <c:pt idx="248">
                  <c:v>46178</c:v>
                </c:pt>
                <c:pt idx="249">
                  <c:v>46179</c:v>
                </c:pt>
                <c:pt idx="250">
                  <c:v>46180</c:v>
                </c:pt>
                <c:pt idx="251">
                  <c:v>46181</c:v>
                </c:pt>
                <c:pt idx="252">
                  <c:v>46182</c:v>
                </c:pt>
                <c:pt idx="253">
                  <c:v>46183</c:v>
                </c:pt>
                <c:pt idx="254">
                  <c:v>46184</c:v>
                </c:pt>
                <c:pt idx="255">
                  <c:v>46185</c:v>
                </c:pt>
                <c:pt idx="256">
                  <c:v>46186</c:v>
                </c:pt>
                <c:pt idx="257">
                  <c:v>46187</c:v>
                </c:pt>
                <c:pt idx="258">
                  <c:v>46188</c:v>
                </c:pt>
                <c:pt idx="259">
                  <c:v>46189</c:v>
                </c:pt>
                <c:pt idx="260">
                  <c:v>46190</c:v>
                </c:pt>
                <c:pt idx="261">
                  <c:v>46191</c:v>
                </c:pt>
                <c:pt idx="262">
                  <c:v>46192</c:v>
                </c:pt>
                <c:pt idx="263">
                  <c:v>46193</c:v>
                </c:pt>
                <c:pt idx="264">
                  <c:v>46194</c:v>
                </c:pt>
                <c:pt idx="265">
                  <c:v>46195</c:v>
                </c:pt>
                <c:pt idx="266">
                  <c:v>46196</c:v>
                </c:pt>
                <c:pt idx="267">
                  <c:v>46197</c:v>
                </c:pt>
                <c:pt idx="268">
                  <c:v>46198</c:v>
                </c:pt>
                <c:pt idx="269">
                  <c:v>46199</c:v>
                </c:pt>
                <c:pt idx="270">
                  <c:v>46200</c:v>
                </c:pt>
                <c:pt idx="271">
                  <c:v>46201</c:v>
                </c:pt>
                <c:pt idx="272">
                  <c:v>46202</c:v>
                </c:pt>
                <c:pt idx="273">
                  <c:v>46203</c:v>
                </c:pt>
                <c:pt idx="274">
                  <c:v>46204</c:v>
                </c:pt>
                <c:pt idx="275">
                  <c:v>46205</c:v>
                </c:pt>
                <c:pt idx="276">
                  <c:v>46206</c:v>
                </c:pt>
                <c:pt idx="277">
                  <c:v>46207</c:v>
                </c:pt>
                <c:pt idx="278">
                  <c:v>46208</c:v>
                </c:pt>
                <c:pt idx="279">
                  <c:v>46209</c:v>
                </c:pt>
                <c:pt idx="280">
                  <c:v>46210</c:v>
                </c:pt>
                <c:pt idx="281">
                  <c:v>46211</c:v>
                </c:pt>
                <c:pt idx="282">
                  <c:v>46212</c:v>
                </c:pt>
                <c:pt idx="283">
                  <c:v>46213</c:v>
                </c:pt>
                <c:pt idx="284">
                  <c:v>46214</c:v>
                </c:pt>
                <c:pt idx="285">
                  <c:v>46215</c:v>
                </c:pt>
                <c:pt idx="286">
                  <c:v>46216</c:v>
                </c:pt>
                <c:pt idx="287">
                  <c:v>46217</c:v>
                </c:pt>
                <c:pt idx="288">
                  <c:v>46218</c:v>
                </c:pt>
                <c:pt idx="289">
                  <c:v>46219</c:v>
                </c:pt>
                <c:pt idx="290">
                  <c:v>46220</c:v>
                </c:pt>
                <c:pt idx="291">
                  <c:v>46221</c:v>
                </c:pt>
                <c:pt idx="292">
                  <c:v>46222</c:v>
                </c:pt>
                <c:pt idx="293">
                  <c:v>46223</c:v>
                </c:pt>
                <c:pt idx="294">
                  <c:v>46224</c:v>
                </c:pt>
                <c:pt idx="295">
                  <c:v>46225</c:v>
                </c:pt>
                <c:pt idx="296">
                  <c:v>46226</c:v>
                </c:pt>
                <c:pt idx="297">
                  <c:v>46227</c:v>
                </c:pt>
                <c:pt idx="298">
                  <c:v>46228</c:v>
                </c:pt>
                <c:pt idx="299">
                  <c:v>46229</c:v>
                </c:pt>
                <c:pt idx="300">
                  <c:v>46230</c:v>
                </c:pt>
                <c:pt idx="301">
                  <c:v>46231</c:v>
                </c:pt>
                <c:pt idx="302">
                  <c:v>46232</c:v>
                </c:pt>
                <c:pt idx="303">
                  <c:v>46233</c:v>
                </c:pt>
                <c:pt idx="304">
                  <c:v>46234</c:v>
                </c:pt>
                <c:pt idx="305">
                  <c:v>46235</c:v>
                </c:pt>
                <c:pt idx="306">
                  <c:v>46236</c:v>
                </c:pt>
                <c:pt idx="307">
                  <c:v>46237</c:v>
                </c:pt>
                <c:pt idx="308">
                  <c:v>46238</c:v>
                </c:pt>
                <c:pt idx="309">
                  <c:v>46239</c:v>
                </c:pt>
                <c:pt idx="310">
                  <c:v>46240</c:v>
                </c:pt>
                <c:pt idx="311">
                  <c:v>46241</c:v>
                </c:pt>
                <c:pt idx="312">
                  <c:v>46242</c:v>
                </c:pt>
                <c:pt idx="313">
                  <c:v>46243</c:v>
                </c:pt>
                <c:pt idx="314">
                  <c:v>46244</c:v>
                </c:pt>
                <c:pt idx="315">
                  <c:v>46245</c:v>
                </c:pt>
                <c:pt idx="316">
                  <c:v>46246</c:v>
                </c:pt>
                <c:pt idx="317">
                  <c:v>46247</c:v>
                </c:pt>
                <c:pt idx="318">
                  <c:v>46248</c:v>
                </c:pt>
                <c:pt idx="319">
                  <c:v>46249</c:v>
                </c:pt>
                <c:pt idx="320">
                  <c:v>46250</c:v>
                </c:pt>
                <c:pt idx="321">
                  <c:v>46251</c:v>
                </c:pt>
                <c:pt idx="322">
                  <c:v>46252</c:v>
                </c:pt>
                <c:pt idx="323">
                  <c:v>46253</c:v>
                </c:pt>
                <c:pt idx="324">
                  <c:v>46254</c:v>
                </c:pt>
                <c:pt idx="325">
                  <c:v>46255</c:v>
                </c:pt>
                <c:pt idx="326">
                  <c:v>46256</c:v>
                </c:pt>
                <c:pt idx="327">
                  <c:v>46257</c:v>
                </c:pt>
                <c:pt idx="328">
                  <c:v>46258</c:v>
                </c:pt>
                <c:pt idx="329">
                  <c:v>46259</c:v>
                </c:pt>
                <c:pt idx="330">
                  <c:v>46260</c:v>
                </c:pt>
                <c:pt idx="331">
                  <c:v>46261</c:v>
                </c:pt>
                <c:pt idx="332">
                  <c:v>46262</c:v>
                </c:pt>
                <c:pt idx="333">
                  <c:v>46263</c:v>
                </c:pt>
                <c:pt idx="334">
                  <c:v>46264</c:v>
                </c:pt>
                <c:pt idx="335">
                  <c:v>46265</c:v>
                </c:pt>
                <c:pt idx="336">
                  <c:v>46266</c:v>
                </c:pt>
                <c:pt idx="337">
                  <c:v>46267</c:v>
                </c:pt>
                <c:pt idx="338">
                  <c:v>46268</c:v>
                </c:pt>
                <c:pt idx="339">
                  <c:v>46269</c:v>
                </c:pt>
                <c:pt idx="340">
                  <c:v>46270</c:v>
                </c:pt>
                <c:pt idx="341">
                  <c:v>46271</c:v>
                </c:pt>
                <c:pt idx="342">
                  <c:v>46272</c:v>
                </c:pt>
                <c:pt idx="343">
                  <c:v>46273</c:v>
                </c:pt>
                <c:pt idx="344">
                  <c:v>46274</c:v>
                </c:pt>
                <c:pt idx="345">
                  <c:v>46275</c:v>
                </c:pt>
                <c:pt idx="346">
                  <c:v>46276</c:v>
                </c:pt>
                <c:pt idx="347">
                  <c:v>46277</c:v>
                </c:pt>
                <c:pt idx="348">
                  <c:v>46278</c:v>
                </c:pt>
                <c:pt idx="349">
                  <c:v>46279</c:v>
                </c:pt>
                <c:pt idx="350">
                  <c:v>46280</c:v>
                </c:pt>
                <c:pt idx="351">
                  <c:v>46281</c:v>
                </c:pt>
                <c:pt idx="352">
                  <c:v>46282</c:v>
                </c:pt>
                <c:pt idx="353">
                  <c:v>46283</c:v>
                </c:pt>
                <c:pt idx="354">
                  <c:v>46284</c:v>
                </c:pt>
                <c:pt idx="355">
                  <c:v>46285</c:v>
                </c:pt>
                <c:pt idx="356">
                  <c:v>46286</c:v>
                </c:pt>
                <c:pt idx="357">
                  <c:v>46287</c:v>
                </c:pt>
                <c:pt idx="358">
                  <c:v>46288</c:v>
                </c:pt>
                <c:pt idx="359">
                  <c:v>46289</c:v>
                </c:pt>
                <c:pt idx="360">
                  <c:v>46290</c:v>
                </c:pt>
                <c:pt idx="361">
                  <c:v>46291</c:v>
                </c:pt>
                <c:pt idx="362">
                  <c:v>46292</c:v>
                </c:pt>
                <c:pt idx="363">
                  <c:v>46293</c:v>
                </c:pt>
                <c:pt idx="364">
                  <c:v>46294</c:v>
                </c:pt>
                <c:pt idx="365">
                  <c:v>46295</c:v>
                </c:pt>
              </c:numCache>
            </c:numRef>
          </c:cat>
          <c:val>
            <c:numRef>
              <c:f>'Histrorical Data'!$B$4:$B$369</c:f>
              <c:numCache>
                <c:formatCode>#,##0.00</c:formatCode>
                <c:ptCount val="366"/>
                <c:pt idx="0">
                  <c:v>114056.08</c:v>
                </c:pt>
                <c:pt idx="1">
                  <c:v>118648.93</c:v>
                </c:pt>
                <c:pt idx="2">
                  <c:v>120681.26</c:v>
                </c:pt>
                <c:pt idx="3">
                  <c:v>122266.53</c:v>
                </c:pt>
                <c:pt idx="4">
                  <c:v>122425.43</c:v>
                </c:pt>
                <c:pt idx="5">
                  <c:v>123513.47</c:v>
                </c:pt>
                <c:pt idx="6">
                  <c:v>124752.53</c:v>
                </c:pt>
                <c:pt idx="7">
                  <c:v>121451.38</c:v>
                </c:pt>
                <c:pt idx="8">
                  <c:v>123354.87</c:v>
                </c:pt>
                <c:pt idx="9">
                  <c:v>121705.58</c:v>
                </c:pt>
                <c:pt idx="10">
                  <c:v>113214.37</c:v>
                </c:pt>
                <c:pt idx="11">
                  <c:v>110807.88</c:v>
                </c:pt>
                <c:pt idx="12">
                  <c:v>115169.76</c:v>
                </c:pt>
                <c:pt idx="13">
                  <c:v>115271.08</c:v>
                </c:pt>
                <c:pt idx="14">
                  <c:v>113118.67</c:v>
                </c:pt>
                <c:pt idx="15">
                  <c:v>110783.17</c:v>
                </c:pt>
                <c:pt idx="16">
                  <c:v>108186.04</c:v>
                </c:pt>
                <c:pt idx="17">
                  <c:v>106467.79</c:v>
                </c:pt>
                <c:pt idx="18">
                  <c:v>107198.27</c:v>
                </c:pt>
                <c:pt idx="19">
                  <c:v>108666.71</c:v>
                </c:pt>
                <c:pt idx="20">
                  <c:v>110588.93</c:v>
                </c:pt>
                <c:pt idx="21">
                  <c:v>108476.89</c:v>
                </c:pt>
                <c:pt idx="22">
                  <c:v>107688.59</c:v>
                </c:pt>
                <c:pt idx="23">
                  <c:v>110069.72</c:v>
                </c:pt>
                <c:pt idx="24">
                  <c:v>111033.92</c:v>
                </c:pt>
                <c:pt idx="25">
                  <c:v>111641.73</c:v>
                </c:pt>
                <c:pt idx="26">
                  <c:v>114472.44</c:v>
                </c:pt>
                <c:pt idx="27">
                  <c:v>114119.32</c:v>
                </c:pt>
                <c:pt idx="28">
                  <c:v>112956.17</c:v>
                </c:pt>
                <c:pt idx="29">
                  <c:v>110055.3</c:v>
                </c:pt>
                <c:pt idx="30">
                  <c:v>108305.55</c:v>
                </c:pt>
                <c:pt idx="31">
                  <c:v>109556.16</c:v>
                </c:pt>
                <c:pt idx="32">
                  <c:v>110064.02</c:v>
                </c:pt>
                <c:pt idx="33">
                  <c:v>110639.63</c:v>
                </c:pt>
                <c:pt idx="34">
                  <c:v>106547.52</c:v>
                </c:pt>
                <c:pt idx="35">
                  <c:v>101590.52</c:v>
                </c:pt>
                <c:pt idx="36">
                  <c:v>103891.84</c:v>
                </c:pt>
                <c:pt idx="37">
                  <c:v>101301.29</c:v>
                </c:pt>
                <c:pt idx="38">
                  <c:v>103372.41</c:v>
                </c:pt>
                <c:pt idx="39">
                  <c:v>102282.11</c:v>
                </c:pt>
                <c:pt idx="40">
                  <c:v>104719.64</c:v>
                </c:pt>
                <c:pt idx="41">
                  <c:v>105996.6</c:v>
                </c:pt>
                <c:pt idx="42">
                  <c:v>102997.47</c:v>
                </c:pt>
                <c:pt idx="43">
                  <c:v>101663.19</c:v>
                </c:pt>
                <c:pt idx="44">
                  <c:v>99697.49</c:v>
                </c:pt>
                <c:pt idx="45">
                  <c:v>94397.79</c:v>
                </c:pt>
                <c:pt idx="46">
                  <c:v>95549.15</c:v>
                </c:pt>
                <c:pt idx="47">
                  <c:v>94177.07</c:v>
                </c:pt>
                <c:pt idx="48">
                  <c:v>92093.87</c:v>
                </c:pt>
                <c:pt idx="49">
                  <c:v>92948.87</c:v>
                </c:pt>
                <c:pt idx="50">
                  <c:v>91465.99</c:v>
                </c:pt>
                <c:pt idx="51">
                  <c:v>86631.9</c:v>
                </c:pt>
                <c:pt idx="52">
                  <c:v>85090.69</c:v>
                </c:pt>
                <c:pt idx="53">
                  <c:v>84648.36</c:v>
                </c:pt>
                <c:pt idx="54">
                  <c:v>86805.01</c:v>
                </c:pt>
                <c:pt idx="55">
                  <c:v>88270.56</c:v>
                </c:pt>
                <c:pt idx="56">
                  <c:v>87341.89</c:v>
                </c:pt>
                <c:pt idx="57">
                  <c:v>90518.37</c:v>
                </c:pt>
                <c:pt idx="58">
                  <c:v>91285.37</c:v>
                </c:pt>
                <c:pt idx="59">
                  <c:v>90919.27</c:v>
                </c:pt>
                <c:pt idx="60">
                  <c:v>90851.75</c:v>
                </c:pt>
                <c:pt idx="61">
                  <c:v>90394.31</c:v>
                </c:pt>
                <c:pt idx="62">
                  <c:v>86321.57</c:v>
                </c:pt>
                <c:pt idx="63">
                  <c:v>91350.21</c:v>
                </c:pt>
                <c:pt idx="64">
                  <c:v>93527.8</c:v>
                </c:pt>
                <c:pt idx="65">
                  <c:v>92141.62</c:v>
                </c:pt>
                <c:pt idx="66">
                  <c:v>89387.75</c:v>
                </c:pt>
                <c:pt idx="67">
                  <c:v>89272.37</c:v>
                </c:pt>
                <c:pt idx="68">
                  <c:v>90405.64</c:v>
                </c:pt>
                <c:pt idx="69">
                  <c:v>90640.21</c:v>
                </c:pt>
                <c:pt idx="70">
                  <c:v>92691.71</c:v>
                </c:pt>
                <c:pt idx="71">
                  <c:v>92020.95</c:v>
                </c:pt>
                <c:pt idx="72">
                  <c:v>92511.34</c:v>
                </c:pt>
                <c:pt idx="73">
                  <c:v>90270.41</c:v>
                </c:pt>
                <c:pt idx="74">
                  <c:v>90298.71</c:v>
                </c:pt>
                <c:pt idx="75">
                  <c:v>88175.18</c:v>
                </c:pt>
                <c:pt idx="76">
                  <c:v>86419.78</c:v>
                </c:pt>
                <c:pt idx="77">
                  <c:v>87843.99</c:v>
                </c:pt>
                <c:pt idx="78">
                  <c:v>86143.76</c:v>
                </c:pt>
                <c:pt idx="79">
                  <c:v>85462.51</c:v>
                </c:pt>
                <c:pt idx="80">
                  <c:v>88103.38</c:v>
                </c:pt>
                <c:pt idx="81">
                  <c:v>88344</c:v>
                </c:pt>
                <c:pt idx="82">
                  <c:v>88621.75</c:v>
                </c:pt>
                <c:pt idx="83">
                  <c:v>88490.02</c:v>
                </c:pt>
                <c:pt idx="84">
                  <c:v>87414</c:v>
                </c:pt>
                <c:pt idx="85">
                  <c:v>87611.96</c:v>
                </c:pt>
                <c:pt idx="86">
                  <c:v>87234.74</c:v>
                </c:pt>
                <c:pt idx="87">
                  <c:v>87301.43</c:v>
                </c:pt>
                <c:pt idx="88">
                  <c:v>87802.16</c:v>
                </c:pt>
                <c:pt idx="89">
                  <c:v>87835.83</c:v>
                </c:pt>
                <c:pt idx="90">
                  <c:v>87138.14</c:v>
                </c:pt>
                <c:pt idx="91">
                  <c:v>88430.14</c:v>
                </c:pt>
                <c:pt idx="92">
                  <c:v>87508.83</c:v>
                </c:pt>
                <c:pt idx="93">
                  <c:v>88731.99</c:v>
                </c:pt>
                <c:pt idx="94">
                  <c:v>89944.69</c:v>
                </c:pt>
                <c:pt idx="95">
                  <c:v>90603.19</c:v>
                </c:pt>
                <c:pt idx="96">
                  <c:v>91413.49</c:v>
                </c:pt>
                <c:pt idx="97">
                  <c:v>93882.55</c:v>
                </c:pt>
                <c:pt idx="98">
                  <c:v>93729.03</c:v>
                </c:pt>
                <c:pt idx="99">
                  <c:v>91308.05</c:v>
                </c:pt>
                <c:pt idx="100">
                  <c:v>91027.13</c:v>
                </c:pt>
                <c:pt idx="101">
                  <c:v>90513.1</c:v>
                </c:pt>
                <c:pt idx="102">
                  <c:v>90386.65</c:v>
                </c:pt>
                <c:pt idx="103">
                  <c:v>90827.46</c:v>
                </c:pt>
                <c:pt idx="104">
                  <c:v>91192.99</c:v>
                </c:pt>
                <c:pt idx="105">
                  <c:v>95321.78</c:v>
                </c:pt>
                <c:pt idx="106">
                  <c:v>96929.33</c:v>
                </c:pt>
                <c:pt idx="107">
                  <c:v>95551.19</c:v>
                </c:pt>
                <c:pt idx="108">
                  <c:v>95525.119999999995</c:v>
                </c:pt>
                <c:pt idx="109">
                  <c:v>95099.92</c:v>
                </c:pt>
                <c:pt idx="110">
                  <c:v>93634.43</c:v>
                </c:pt>
                <c:pt idx="111">
                  <c:v>92553.600000000006</c:v>
                </c:pt>
                <c:pt idx="112">
                  <c:v>88310.9</c:v>
                </c:pt>
                <c:pt idx="113">
                  <c:v>89376.960000000006</c:v>
                </c:pt>
                <c:pt idx="114">
                  <c:v>89462.45</c:v>
                </c:pt>
                <c:pt idx="115">
                  <c:v>89503.88</c:v>
                </c:pt>
                <c:pt idx="116">
                  <c:v>89110.74</c:v>
                </c:pt>
                <c:pt idx="117">
                  <c:v>86572.22</c:v>
                </c:pt>
                <c:pt idx="118">
                  <c:v>88267.14</c:v>
                </c:pt>
                <c:pt idx="119">
                  <c:v>89102.57</c:v>
                </c:pt>
                <c:pt idx="120">
                  <c:v>89184.57</c:v>
                </c:pt>
                <c:pt idx="121">
                  <c:v>84561.58</c:v>
                </c:pt>
                <c:pt idx="122">
                  <c:v>84128.66</c:v>
                </c:pt>
                <c:pt idx="123">
                  <c:v>78621.11</c:v>
                </c:pt>
                <c:pt idx="124">
                  <c:v>76974.44</c:v>
                </c:pt>
                <c:pt idx="125">
                  <c:v>78688.759999999995</c:v>
                </c:pt>
                <c:pt idx="126">
                  <c:v>75633.55</c:v>
                </c:pt>
                <c:pt idx="127">
                  <c:v>73019.7</c:v>
                </c:pt>
                <c:pt idx="128">
                  <c:v>62702.1</c:v>
                </c:pt>
                <c:pt idx="129">
                  <c:v>70555.39</c:v>
                </c:pt>
                <c:pt idx="130">
                  <c:v>69281.97</c:v>
                </c:pt>
                <c:pt idx="131">
                  <c:v>70264.72</c:v>
                </c:pt>
                <c:pt idx="132">
                  <c:v>70120.78</c:v>
                </c:pt>
                <c:pt idx="133">
                  <c:v>68793.960000000006</c:v>
                </c:pt>
                <c:pt idx="134">
                  <c:v>66991.97</c:v>
                </c:pt>
                <c:pt idx="135">
                  <c:v>66221.84</c:v>
                </c:pt>
                <c:pt idx="136">
                  <c:v>68857.84</c:v>
                </c:pt>
                <c:pt idx="137">
                  <c:v>69767.62</c:v>
                </c:pt>
                <c:pt idx="138">
                  <c:v>68788.19</c:v>
                </c:pt>
                <c:pt idx="139">
                  <c:v>68843.149999999994</c:v>
                </c:pt>
                <c:pt idx="140">
                  <c:v>67494.22</c:v>
                </c:pt>
                <c:pt idx="141">
                  <c:v>66425.320000000007</c:v>
                </c:pt>
                <c:pt idx="142">
                  <c:v>66957.52</c:v>
                </c:pt>
                <c:pt idx="143">
                  <c:v>68005.42</c:v>
                </c:pt>
                <c:pt idx="144">
                  <c:v>68003.759999999995</c:v>
                </c:pt>
                <c:pt idx="145">
                  <c:v>67659.39</c:v>
                </c:pt>
                <c:pt idx="146">
                  <c:v>64616.74</c:v>
                </c:pt>
                <c:pt idx="147">
                  <c:v>64080.04</c:v>
                </c:pt>
                <c:pt idx="148">
                  <c:v>67960.12</c:v>
                </c:pt>
                <c:pt idx="149">
                  <c:v>67453.77</c:v>
                </c:pt>
                <c:pt idx="150">
                  <c:v>65881.8</c:v>
                </c:pt>
                <c:pt idx="151">
                  <c:v>66995.86</c:v>
                </c:pt>
                <c:pt idx="152">
                  <c:v>65738.100000000006</c:v>
                </c:pt>
                <c:pt idx="153">
                  <c:v>68775.850000000006</c:v>
                </c:pt>
                <c:pt idx="154">
                  <c:v>68293.649999999994</c:v>
                </c:pt>
                <c:pt idx="155">
                  <c:v>72710.58</c:v>
                </c:pt>
                <c:pt idx="156">
                  <c:v>70841.13</c:v>
                </c:pt>
                <c:pt idx="157">
                  <c:v>68136.490000000005</c:v>
                </c:pt>
                <c:pt idx="158">
                  <c:v>67272.600000000006</c:v>
                </c:pt>
                <c:pt idx="159">
                  <c:v>65969.78</c:v>
                </c:pt>
                <c:pt idx="160">
                  <c:v>68402.39</c:v>
                </c:pt>
                <c:pt idx="161">
                  <c:v>69926.92</c:v>
                </c:pt>
                <c:pt idx="162">
                  <c:v>70204.88</c:v>
                </c:pt>
                <c:pt idx="163">
                  <c:v>70493.460000000006</c:v>
                </c:pt>
                <c:pt idx="164">
                  <c:v>70968.27</c:v>
                </c:pt>
                <c:pt idx="165">
                  <c:v>71214.63</c:v>
                </c:pt>
                <c:pt idx="166">
                  <c:v>72789.919999999998</c:v>
                </c:pt>
                <c:pt idx="167">
                  <c:v>74861.08</c:v>
                </c:pt>
                <c:pt idx="168">
                  <c:v>73922.47</c:v>
                </c:pt>
                <c:pt idx="169">
                  <c:v>71245.58</c:v>
                </c:pt>
                <c:pt idx="170">
                  <c:v>69912.789999999994</c:v>
                </c:pt>
                <c:pt idx="171">
                  <c:v>70522.58</c:v>
                </c:pt>
                <c:pt idx="172">
                  <c:v>68711.53</c:v>
                </c:pt>
                <c:pt idx="173">
                  <c:v>67845.210000000006</c:v>
                </c:pt>
                <c:pt idx="174">
                  <c:v>70914.86</c:v>
                </c:pt>
                <c:pt idx="175">
                  <c:v>70517.86</c:v>
                </c:pt>
                <c:pt idx="176">
                  <c:v>71309.88</c:v>
                </c:pt>
                <c:pt idx="177">
                  <c:v>68791.62</c:v>
                </c:pt>
                <c:pt idx="178">
                  <c:v>66338.37</c:v>
                </c:pt>
                <c:pt idx="179">
                  <c:v>66319.7</c:v>
                </c:pt>
                <c:pt idx="180">
                  <c:v>65954.92</c:v>
                </c:pt>
                <c:pt idx="181">
                  <c:v>66691.44</c:v>
                </c:pt>
                <c:pt idx="182">
                  <c:v>68233.320000000007</c:v>
                </c:pt>
                <c:pt idx="183">
                  <c:v>68078.55</c:v>
                </c:pt>
                <c:pt idx="184">
                  <c:v>66888.570000000007</c:v>
                </c:pt>
                <c:pt idx="185">
                  <c:v>66931.100000000006</c:v>
                </c:pt>
                <c:pt idx="186">
                  <c:v>67290.52</c:v>
                </c:pt>
                <c:pt idx="187">
                  <c:v>68981.899999999994</c:v>
                </c:pt>
                <c:pt idx="188">
                  <c:v>68859.83</c:v>
                </c:pt>
                <c:pt idx="189">
                  <c:v>71940.7</c:v>
                </c:pt>
                <c:pt idx="190">
                  <c:v>71123.360000000001</c:v>
                </c:pt>
                <c:pt idx="191">
                  <c:v>71767.83</c:v>
                </c:pt>
                <c:pt idx="192">
                  <c:v>72979.05</c:v>
                </c:pt>
                <c:pt idx="193">
                  <c:v>73054.27</c:v>
                </c:pt>
                <c:pt idx="194">
                  <c:v>70753.41</c:v>
                </c:pt>
                <c:pt idx="195">
                  <c:v>74484.639999999999</c:v>
                </c:pt>
                <c:pt idx="196">
                  <c:v>74181.61</c:v>
                </c:pt>
                <c:pt idx="197">
                  <c:v>74805.08</c:v>
                </c:pt>
                <c:pt idx="198">
                  <c:v>75152.13</c:v>
                </c:pt>
                <c:pt idx="199">
                  <c:v>77126.880000000005</c:v>
                </c:pt>
                <c:pt idx="200">
                  <c:v>75726.210000000006</c:v>
                </c:pt>
                <c:pt idx="201">
                  <c:v>73856.350000000006</c:v>
                </c:pt>
                <c:pt idx="202">
                  <c:v>75872.52</c:v>
                </c:pt>
                <c:pt idx="203">
                  <c:v>76352.78</c:v>
                </c:pt>
                <c:pt idx="204">
                  <c:v>78203.100000000006</c:v>
                </c:pt>
                <c:pt idx="205">
                  <c:v>78268.95</c:v>
                </c:pt>
                <c:pt idx="206">
                  <c:v>77455.320000000007</c:v>
                </c:pt>
                <c:pt idx="207">
                  <c:v>77612.02</c:v>
                </c:pt>
                <c:pt idx="208">
                  <c:v>78657.539999999994</c:v>
                </c:pt>
                <c:pt idx="209">
                  <c:v>77366.62</c:v>
                </c:pt>
                <c:pt idx="210">
                  <c:v>76350.67</c:v>
                </c:pt>
                <c:pt idx="211">
                  <c:v>75776.14</c:v>
                </c:pt>
                <c:pt idx="212">
                  <c:v>76304.320000000007</c:v>
                </c:pt>
                <c:pt idx="213">
                  <c:v>78179</c:v>
                </c:pt>
                <c:pt idx="214">
                  <c:v>78657.25</c:v>
                </c:pt>
                <c:pt idx="215">
                  <c:v>78538.22</c:v>
                </c:pt>
                <c:pt idx="216">
                  <c:v>79827.91</c:v>
                </c:pt>
                <c:pt idx="217">
                  <c:v>80927.05</c:v>
                </c:pt>
                <c:pt idx="218">
                  <c:v>81427.53</c:v>
                </c:pt>
                <c:pt idx="219">
                  <c:v>80009.990000000005</c:v>
                </c:pt>
                <c:pt idx="220">
                  <c:v>80186.759999999995</c:v>
                </c:pt>
                <c:pt idx="221">
                  <c:v>80664.37</c:v>
                </c:pt>
                <c:pt idx="222">
                  <c:v>82138.929999999993</c:v>
                </c:pt>
                <c:pt idx="223">
                  <c:v>81728.3</c:v>
                </c:pt>
                <c:pt idx="224">
                  <c:v>80477.5</c:v>
                </c:pt>
                <c:pt idx="225">
                  <c:v>79277.11</c:v>
                </c:pt>
                <c:pt idx="226">
                  <c:v>81051.25</c:v>
                </c:pt>
                <c:pt idx="227">
                  <c:v>79065.679999999993</c:v>
                </c:pt>
                <c:pt idx="228">
                  <c:v>78131.429999999993</c:v>
                </c:pt>
                <c:pt idx="229">
                  <c:v>77429.36</c:v>
                </c:pt>
                <c:pt idx="230">
                  <c:v>76954.179999999993</c:v>
                </c:pt>
                <c:pt idx="231">
                  <c:v>76750.899999999994</c:v>
                </c:pt>
                <c:pt idx="232">
                  <c:v>77457.77</c:v>
                </c:pt>
                <c:pt idx="233">
                  <c:v>77539.17</c:v>
                </c:pt>
                <c:pt idx="234">
                  <c:v>75488.240000000005</c:v>
                </c:pt>
                <c:pt idx="235">
                  <c:v>76673.37</c:v>
                </c:pt>
                <c:pt idx="236">
                  <c:v>76981.13</c:v>
                </c:pt>
                <c:pt idx="237">
                  <c:v>77279.929999999993</c:v>
                </c:pt>
                <c:pt idx="238">
                  <c:v>75825.73</c:v>
                </c:pt>
                <c:pt idx="239">
                  <c:v>74344.7</c:v>
                </c:pt>
                <c:pt idx="240">
                  <c:v>73536.56</c:v>
                </c:pt>
                <c:pt idx="241">
                  <c:v>73372.53</c:v>
                </c:pt>
                <c:pt idx="242">
                  <c:v>73754.84</c:v>
                </c:pt>
                <c:pt idx="243">
                  <c:v>73579.69</c:v>
                </c:pt>
                <c:pt idx="244">
                  <c:v>71319.77</c:v>
                </c:pt>
                <c:pt idx="245">
                  <c:v>66703.66</c:v>
                </c:pt>
                <c:pt idx="246">
                  <c:v>64014.37</c:v>
                </c:pt>
                <c:pt idx="247">
                  <c:v>63801.57</c:v>
                </c:pt>
                <c:pt idx="248">
                  <c:v>60922.67</c:v>
                </c:pt>
                <c:pt idx="249">
                  <c:v>60867.41</c:v>
                </c:pt>
                <c:pt idx="250">
                  <c:v>63239.519999999997</c:v>
                </c:pt>
                <c:pt idx="251">
                  <c:v>63090.59</c:v>
                </c:pt>
                <c:pt idx="252">
                  <c:v>61643.78</c:v>
                </c:pt>
                <c:pt idx="253">
                  <c:v>61449.29</c:v>
                </c:pt>
                <c:pt idx="254">
                  <c:v>63561.05</c:v>
                </c:pt>
                <c:pt idx="255">
                  <c:v>63543.199999999997</c:v>
                </c:pt>
                <c:pt idx="256">
                  <c:v>64421.33</c:v>
                </c:pt>
                <c:pt idx="257">
                  <c:v>65710.399999999994</c:v>
                </c:pt>
                <c:pt idx="258">
                  <c:v>66289.5</c:v>
                </c:pt>
                <c:pt idx="259">
                  <c:v>65600.639999999999</c:v>
                </c:pt>
                <c:pt idx="260">
                  <c:v>64418.45</c:v>
                </c:pt>
                <c:pt idx="261">
                  <c:v>62896.47</c:v>
                </c:pt>
                <c:pt idx="262">
                  <c:v>63540.84</c:v>
                </c:pt>
                <c:pt idx="263">
                  <c:v>64239.68</c:v>
                </c:pt>
                <c:pt idx="264">
                  <c:v>63237.54</c:v>
                </c:pt>
                <c:pt idx="265">
                  <c:v>63952.11</c:v>
                </c:pt>
                <c:pt idx="266">
                  <c:v>62668.02</c:v>
                </c:pt>
                <c:pt idx="267">
                  <c:v>60995.13</c:v>
                </c:pt>
                <c:pt idx="268">
                  <c:v>59721.68</c:v>
                </c:pt>
                <c:pt idx="269">
                  <c:v>60016.43</c:v>
                </c:pt>
                <c:pt idx="270">
                  <c:v>59940.1</c:v>
                </c:pt>
                <c:pt idx="271">
                  <c:v>59532.34</c:v>
                </c:pt>
                <c:pt idx="272">
                  <c:v>60138.38</c:v>
                </c:pt>
                <c:pt idx="273">
                  <c:v>58558.86</c:v>
                </c:pt>
                <c:pt idx="274">
                  <c:v>60003.76</c:v>
                </c:pt>
                <c:pt idx="275">
                  <c:v>61485.3</c:v>
                </c:pt>
                <c:pt idx="276">
                  <c:v>62544.2</c:v>
                </c:pt>
                <c:pt idx="277">
                  <c:v>63088.31</c:v>
                </c:pt>
                <c:pt idx="278">
                  <c:v>63547.88</c:v>
                </c:pt>
                <c:pt idx="279">
                  <c:v>63995.02</c:v>
                </c:pt>
                <c:pt idx="280">
                  <c:v>63297.4</c:v>
                </c:pt>
                <c:pt idx="281">
                  <c:v>62257.58</c:v>
                </c:pt>
                <c:pt idx="282">
                  <c:v>63193.15</c:v>
                </c:pt>
                <c:pt idx="283">
                  <c:v>64127.14</c:v>
                </c:pt>
                <c:pt idx="284">
                  <c:v>63802.03</c:v>
                </c:pt>
                <c:pt idx="285">
                  <c:v>63758.22</c:v>
                </c:pt>
                <c:pt idx="286">
                  <c:v>62239.12</c:v>
                </c:pt>
                <c:pt idx="287">
                  <c:v>64956.11</c:v>
                </c:pt>
                <c:pt idx="288">
                  <c:v>64712.38</c:v>
                </c:pt>
                <c:pt idx="289">
                  <c:v>63789.279999999999</c:v>
                </c:pt>
                <c:pt idx="290">
                  <c:v>63899.46</c:v>
                </c:pt>
                <c:pt idx="291">
                  <c:v>64796.6</c:v>
                </c:pt>
                <c:pt idx="292">
                  <c:v>64690.8</c:v>
                </c:pt>
                <c:pt idx="293">
                  <c:v>65230.03</c:v>
                </c:pt>
                <c:pt idx="294">
                  <c:v>66505.119999999995</c:v>
                </c:pt>
                <c:pt idx="295">
                  <c:v>66100.800000000003</c:v>
                </c:pt>
                <c:pt idx="296">
                  <c:v>65044.81</c:v>
                </c:pt>
                <c:pt idx="297">
                  <c:v>64098.5</c:v>
                </c:pt>
                <c:pt idx="298">
                  <c:v>64311.81</c:v>
                </c:pt>
                <c:pt idx="299">
                  <c:v>65340.3</c:v>
                </c:pt>
                <c:pt idx="300">
                  <c:v>63724.9</c:v>
                </c:pt>
                <c:pt idx="301">
                  <c:v>63871.360000000001</c:v>
                </c:pt>
                <c:pt idx="302">
                  <c:v>63908.17</c:v>
                </c:pt>
                <c:pt idx="303">
                  <c:v>64725.31</c:v>
                </c:pt>
                <c:pt idx="304">
                  <c:v>62813.75</c:v>
                </c:pt>
                <c:pt idx="305">
                  <c:v>62763.32</c:v>
                </c:pt>
                <c:pt idx="306">
                  <c:v>63482</c:v>
                </c:pt>
                <c:pt idx="307">
                  <c:v>63460.9</c:v>
                </c:pt>
                <c:pt idx="308">
                  <c:v>64055.95</c:v>
                </c:pt>
                <c:pt idx="309">
                  <c:v>64597.5</c:v>
                </c:pt>
                <c:pt idx="310">
                  <c:v>64262.11</c:v>
                </c:pt>
                <c:pt idx="311">
                  <c:v>64880.19</c:v>
                </c:pt>
                <c:pt idx="312">
                  <c:v>64904.69</c:v>
                </c:pt>
                <c:pt idx="313">
                  <c:v>64844.89</c:v>
                </c:pt>
                <c:pt idx="314">
                  <c:v>63910.59</c:v>
                </c:pt>
                <c:pt idx="315">
                  <c:v>63551.87</c:v>
                </c:pt>
                <c:pt idx="316">
                  <c:v>63402.43</c:v>
                </c:pt>
                <c:pt idx="317">
                  <c:v>63402.17</c:v>
                </c:pt>
                <c:pt idx="318">
                  <c:v>62975.59</c:v>
                </c:pt>
                <c:pt idx="319">
                  <c:v>63024.32</c:v>
                </c:pt>
                <c:pt idx="320">
                  <c:v>62818.65</c:v>
                </c:pt>
                <c:pt idx="321">
                  <c:v>64506.26</c:v>
                </c:pt>
                <c:pt idx="322">
                  <c:v>64680.71</c:v>
                </c:pt>
                <c:pt idx="323">
                  <c:v>69266.19</c:v>
                </c:pt>
                <c:pt idx="324">
                  <c:v>73032.759999999995</c:v>
                </c:pt>
                <c:pt idx="325">
                  <c:v>78335.179999999993</c:v>
                </c:pt>
                <c:pt idx="326">
                  <c:v>77083.41</c:v>
                </c:pt>
                <c:pt idx="327">
                  <c:v>77755.259999999995</c:v>
                </c:pt>
                <c:pt idx="328">
                  <c:v>78964.479999999996</c:v>
                </c:pt>
                <c:pt idx="329">
                  <c:v>78564.98</c:v>
                </c:pt>
                <c:pt idx="330">
                  <c:v>79027.42</c:v>
                </c:pt>
                <c:pt idx="331">
                  <c:v>80257.539999999994</c:v>
                </c:pt>
                <c:pt idx="332">
                  <c:v>77830.289999999994</c:v>
                </c:pt>
                <c:pt idx="333">
                  <c:v>78245.81</c:v>
                </c:pt>
                <c:pt idx="334">
                  <c:v>77667.570000000007</c:v>
                </c:pt>
                <c:pt idx="335">
                  <c:v>78548.63</c:v>
                </c:pt>
                <c:pt idx="336">
                  <c:v>77403.62</c:v>
                </c:pt>
                <c:pt idx="337">
                  <c:v>77300.479999999996</c:v>
                </c:pt>
                <c:pt idx="338">
                  <c:v>81271.75</c:v>
                </c:pt>
                <c:pt idx="339">
                  <c:v>79671.97</c:v>
                </c:pt>
                <c:pt idx="340">
                  <c:v>79823.87</c:v>
                </c:pt>
                <c:pt idx="341">
                  <c:v>80350.039999999994</c:v>
                </c:pt>
                <c:pt idx="342">
                  <c:v>79115.850000000006</c:v>
                </c:pt>
                <c:pt idx="343">
                  <c:v>78438.58</c:v>
                </c:pt>
                <c:pt idx="344">
                  <c:v>78259.520000000004</c:v>
                </c:pt>
                <c:pt idx="345">
                  <c:v>76568.12</c:v>
                </c:pt>
                <c:pt idx="346">
                  <c:v>77173.789999999994</c:v>
                </c:pt>
                <c:pt idx="347">
                  <c:v>77270.47</c:v>
                </c:pt>
                <c:pt idx="348">
                  <c:v>76838.16</c:v>
                </c:pt>
                <c:pt idx="349">
                  <c:v>78163.38</c:v>
                </c:pt>
                <c:pt idx="350">
                  <c:v>75612.509999999995</c:v>
                </c:pt>
                <c:pt idx="351">
                  <c:v>76150.320000000007</c:v>
                </c:pt>
                <c:pt idx="352">
                  <c:v>76403.78</c:v>
                </c:pt>
                <c:pt idx="353">
                  <c:v>80901.460000000006</c:v>
                </c:pt>
                <c:pt idx="354">
                  <c:v>81233.679999999993</c:v>
                </c:pt>
                <c:pt idx="355">
                  <c:v>81142.61</c:v>
                </c:pt>
                <c:pt idx="356">
                  <c:v>86602.91</c:v>
                </c:pt>
                <c:pt idx="357">
                  <c:v>86172.28</c:v>
                </c:pt>
                <c:pt idx="358">
                  <c:v>84383.01</c:v>
                </c:pt>
                <c:pt idx="359">
                  <c:v>84379.06</c:v>
                </c:pt>
                <c:pt idx="360">
                  <c:v>84034.92</c:v>
                </c:pt>
                <c:pt idx="361">
                  <c:v>84406.45</c:v>
                </c:pt>
                <c:pt idx="362">
                  <c:v>84458.08</c:v>
                </c:pt>
                <c:pt idx="363">
                  <c:v>83502.61</c:v>
                </c:pt>
                <c:pt idx="364">
                  <c:v>83622.429999999993</c:v>
                </c:pt>
                <c:pt idx="365">
                  <c:v>83553.850000000006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60-4CED-BBDD-15B0A093C4EA}"/>
            </c:ext>
          </c:extLst>
        </c:ser>
        <c:ser>
          <c:idx val="1"/>
          <c:order val="4"/>
          <c:tx>
            <c:strRef>
              <c:f>'Histrorical Data'!$C$3</c:f>
              <c:strCache>
                <c:ptCount val="1"/>
                <c:pt idx="0">
                  <c:v>Monero(XMR)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'Histrorical Data'!$A$4:$A$369</c:f>
              <c:numCache>
                <c:formatCode>[$-F800]dddd\,\ mmmm\ dd\,\ yyyy</c:formatCode>
                <c:ptCount val="366"/>
                <c:pt idx="0">
                  <c:v>45930</c:v>
                </c:pt>
                <c:pt idx="1">
                  <c:v>45931</c:v>
                </c:pt>
                <c:pt idx="2">
                  <c:v>45932</c:v>
                </c:pt>
                <c:pt idx="3">
                  <c:v>45933</c:v>
                </c:pt>
                <c:pt idx="4">
                  <c:v>45934</c:v>
                </c:pt>
                <c:pt idx="5">
                  <c:v>45935</c:v>
                </c:pt>
                <c:pt idx="6">
                  <c:v>45936</c:v>
                </c:pt>
                <c:pt idx="7">
                  <c:v>45937</c:v>
                </c:pt>
                <c:pt idx="8">
                  <c:v>45938</c:v>
                </c:pt>
                <c:pt idx="9">
                  <c:v>45939</c:v>
                </c:pt>
                <c:pt idx="10">
                  <c:v>45940</c:v>
                </c:pt>
                <c:pt idx="11">
                  <c:v>45941</c:v>
                </c:pt>
                <c:pt idx="12">
                  <c:v>45942</c:v>
                </c:pt>
                <c:pt idx="13">
                  <c:v>45943</c:v>
                </c:pt>
                <c:pt idx="14">
                  <c:v>45944</c:v>
                </c:pt>
                <c:pt idx="15">
                  <c:v>45945</c:v>
                </c:pt>
                <c:pt idx="16">
                  <c:v>45946</c:v>
                </c:pt>
                <c:pt idx="17">
                  <c:v>45947</c:v>
                </c:pt>
                <c:pt idx="18">
                  <c:v>45948</c:v>
                </c:pt>
                <c:pt idx="19">
                  <c:v>45949</c:v>
                </c:pt>
                <c:pt idx="20">
                  <c:v>45950</c:v>
                </c:pt>
                <c:pt idx="21">
                  <c:v>45951</c:v>
                </c:pt>
                <c:pt idx="22">
                  <c:v>45952</c:v>
                </c:pt>
                <c:pt idx="23">
                  <c:v>45953</c:v>
                </c:pt>
                <c:pt idx="24">
                  <c:v>45954</c:v>
                </c:pt>
                <c:pt idx="25">
                  <c:v>45955</c:v>
                </c:pt>
                <c:pt idx="26">
                  <c:v>45956</c:v>
                </c:pt>
                <c:pt idx="27">
                  <c:v>45957</c:v>
                </c:pt>
                <c:pt idx="28">
                  <c:v>45958</c:v>
                </c:pt>
                <c:pt idx="29">
                  <c:v>45959</c:v>
                </c:pt>
                <c:pt idx="30">
                  <c:v>45960</c:v>
                </c:pt>
                <c:pt idx="31">
                  <c:v>45961</c:v>
                </c:pt>
                <c:pt idx="32">
                  <c:v>45962</c:v>
                </c:pt>
                <c:pt idx="33">
                  <c:v>45963</c:v>
                </c:pt>
                <c:pt idx="34">
                  <c:v>45964</c:v>
                </c:pt>
                <c:pt idx="35">
                  <c:v>45965</c:v>
                </c:pt>
                <c:pt idx="36">
                  <c:v>45966</c:v>
                </c:pt>
                <c:pt idx="37">
                  <c:v>45967</c:v>
                </c:pt>
                <c:pt idx="38">
                  <c:v>45968</c:v>
                </c:pt>
                <c:pt idx="39">
                  <c:v>45969</c:v>
                </c:pt>
                <c:pt idx="40">
                  <c:v>45970</c:v>
                </c:pt>
                <c:pt idx="41">
                  <c:v>45971</c:v>
                </c:pt>
                <c:pt idx="42">
                  <c:v>45972</c:v>
                </c:pt>
                <c:pt idx="43">
                  <c:v>45973</c:v>
                </c:pt>
                <c:pt idx="44">
                  <c:v>45974</c:v>
                </c:pt>
                <c:pt idx="45">
                  <c:v>45975</c:v>
                </c:pt>
                <c:pt idx="46">
                  <c:v>45976</c:v>
                </c:pt>
                <c:pt idx="47">
                  <c:v>45977</c:v>
                </c:pt>
                <c:pt idx="48">
                  <c:v>45978</c:v>
                </c:pt>
                <c:pt idx="49">
                  <c:v>45979</c:v>
                </c:pt>
                <c:pt idx="50">
                  <c:v>45980</c:v>
                </c:pt>
                <c:pt idx="51">
                  <c:v>45981</c:v>
                </c:pt>
                <c:pt idx="52">
                  <c:v>45982</c:v>
                </c:pt>
                <c:pt idx="53">
                  <c:v>45983</c:v>
                </c:pt>
                <c:pt idx="54">
                  <c:v>45984</c:v>
                </c:pt>
                <c:pt idx="55">
                  <c:v>45985</c:v>
                </c:pt>
                <c:pt idx="56">
                  <c:v>45986</c:v>
                </c:pt>
                <c:pt idx="57">
                  <c:v>45987</c:v>
                </c:pt>
                <c:pt idx="58">
                  <c:v>45988</c:v>
                </c:pt>
                <c:pt idx="59">
                  <c:v>45989</c:v>
                </c:pt>
                <c:pt idx="60">
                  <c:v>45990</c:v>
                </c:pt>
                <c:pt idx="61">
                  <c:v>45991</c:v>
                </c:pt>
                <c:pt idx="62">
                  <c:v>45992</c:v>
                </c:pt>
                <c:pt idx="63">
                  <c:v>45993</c:v>
                </c:pt>
                <c:pt idx="64">
                  <c:v>45994</c:v>
                </c:pt>
                <c:pt idx="65">
                  <c:v>45995</c:v>
                </c:pt>
                <c:pt idx="66">
                  <c:v>45996</c:v>
                </c:pt>
                <c:pt idx="67">
                  <c:v>45997</c:v>
                </c:pt>
                <c:pt idx="68">
                  <c:v>45998</c:v>
                </c:pt>
                <c:pt idx="69">
                  <c:v>45999</c:v>
                </c:pt>
                <c:pt idx="70">
                  <c:v>46000</c:v>
                </c:pt>
                <c:pt idx="71">
                  <c:v>46001</c:v>
                </c:pt>
                <c:pt idx="72">
                  <c:v>46002</c:v>
                </c:pt>
                <c:pt idx="73">
                  <c:v>46003</c:v>
                </c:pt>
                <c:pt idx="74">
                  <c:v>46004</c:v>
                </c:pt>
                <c:pt idx="75">
                  <c:v>46005</c:v>
                </c:pt>
                <c:pt idx="76">
                  <c:v>46006</c:v>
                </c:pt>
                <c:pt idx="77">
                  <c:v>46007</c:v>
                </c:pt>
                <c:pt idx="78">
                  <c:v>46008</c:v>
                </c:pt>
                <c:pt idx="79">
                  <c:v>46009</c:v>
                </c:pt>
                <c:pt idx="80">
                  <c:v>46010</c:v>
                </c:pt>
                <c:pt idx="81">
                  <c:v>46011</c:v>
                </c:pt>
                <c:pt idx="82">
                  <c:v>46012</c:v>
                </c:pt>
                <c:pt idx="83">
                  <c:v>46013</c:v>
                </c:pt>
                <c:pt idx="84">
                  <c:v>46014</c:v>
                </c:pt>
                <c:pt idx="85">
                  <c:v>46015</c:v>
                </c:pt>
                <c:pt idx="86">
                  <c:v>46016</c:v>
                </c:pt>
                <c:pt idx="87">
                  <c:v>46017</c:v>
                </c:pt>
                <c:pt idx="88">
                  <c:v>46018</c:v>
                </c:pt>
                <c:pt idx="89">
                  <c:v>46019</c:v>
                </c:pt>
                <c:pt idx="90">
                  <c:v>46020</c:v>
                </c:pt>
                <c:pt idx="91">
                  <c:v>46021</c:v>
                </c:pt>
                <c:pt idx="92">
                  <c:v>46022</c:v>
                </c:pt>
                <c:pt idx="93">
                  <c:v>46023</c:v>
                </c:pt>
                <c:pt idx="94">
                  <c:v>46024</c:v>
                </c:pt>
                <c:pt idx="95">
                  <c:v>46025</c:v>
                </c:pt>
                <c:pt idx="96">
                  <c:v>46026</c:v>
                </c:pt>
                <c:pt idx="97">
                  <c:v>46027</c:v>
                </c:pt>
                <c:pt idx="98">
                  <c:v>46028</c:v>
                </c:pt>
                <c:pt idx="99">
                  <c:v>46029</c:v>
                </c:pt>
                <c:pt idx="100">
                  <c:v>46030</c:v>
                </c:pt>
                <c:pt idx="101">
                  <c:v>46031</c:v>
                </c:pt>
                <c:pt idx="102">
                  <c:v>46032</c:v>
                </c:pt>
                <c:pt idx="103">
                  <c:v>46033</c:v>
                </c:pt>
                <c:pt idx="104">
                  <c:v>46034</c:v>
                </c:pt>
                <c:pt idx="105">
                  <c:v>46035</c:v>
                </c:pt>
                <c:pt idx="106">
                  <c:v>46036</c:v>
                </c:pt>
                <c:pt idx="107">
                  <c:v>46037</c:v>
                </c:pt>
                <c:pt idx="108">
                  <c:v>46038</c:v>
                </c:pt>
                <c:pt idx="109">
                  <c:v>46039</c:v>
                </c:pt>
                <c:pt idx="110">
                  <c:v>46040</c:v>
                </c:pt>
                <c:pt idx="111">
                  <c:v>46041</c:v>
                </c:pt>
                <c:pt idx="112">
                  <c:v>46042</c:v>
                </c:pt>
                <c:pt idx="113">
                  <c:v>46043</c:v>
                </c:pt>
                <c:pt idx="114">
                  <c:v>46044</c:v>
                </c:pt>
                <c:pt idx="115">
                  <c:v>46045</c:v>
                </c:pt>
                <c:pt idx="116">
                  <c:v>46046</c:v>
                </c:pt>
                <c:pt idx="117">
                  <c:v>46047</c:v>
                </c:pt>
                <c:pt idx="118">
                  <c:v>46048</c:v>
                </c:pt>
                <c:pt idx="119">
                  <c:v>46049</c:v>
                </c:pt>
                <c:pt idx="120">
                  <c:v>46050</c:v>
                </c:pt>
                <c:pt idx="121">
                  <c:v>46051</c:v>
                </c:pt>
                <c:pt idx="122">
                  <c:v>46052</c:v>
                </c:pt>
                <c:pt idx="123">
                  <c:v>46053</c:v>
                </c:pt>
                <c:pt idx="124">
                  <c:v>46054</c:v>
                </c:pt>
                <c:pt idx="125">
                  <c:v>46055</c:v>
                </c:pt>
                <c:pt idx="126">
                  <c:v>46056</c:v>
                </c:pt>
                <c:pt idx="127">
                  <c:v>46057</c:v>
                </c:pt>
                <c:pt idx="128">
                  <c:v>46058</c:v>
                </c:pt>
                <c:pt idx="129">
                  <c:v>46059</c:v>
                </c:pt>
                <c:pt idx="130">
                  <c:v>46060</c:v>
                </c:pt>
                <c:pt idx="131">
                  <c:v>46061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46068</c:v>
                </c:pt>
                <c:pt idx="139">
                  <c:v>46069</c:v>
                </c:pt>
                <c:pt idx="140">
                  <c:v>46070</c:v>
                </c:pt>
                <c:pt idx="141">
                  <c:v>46071</c:v>
                </c:pt>
                <c:pt idx="142">
                  <c:v>46072</c:v>
                </c:pt>
                <c:pt idx="143">
                  <c:v>46073</c:v>
                </c:pt>
                <c:pt idx="144">
                  <c:v>46074</c:v>
                </c:pt>
                <c:pt idx="145">
                  <c:v>46075</c:v>
                </c:pt>
                <c:pt idx="146">
                  <c:v>46076</c:v>
                </c:pt>
                <c:pt idx="147">
                  <c:v>46077</c:v>
                </c:pt>
                <c:pt idx="148">
                  <c:v>46078</c:v>
                </c:pt>
                <c:pt idx="149">
                  <c:v>46079</c:v>
                </c:pt>
                <c:pt idx="150">
                  <c:v>46080</c:v>
                </c:pt>
                <c:pt idx="151">
                  <c:v>46081</c:v>
                </c:pt>
                <c:pt idx="152">
                  <c:v>46082</c:v>
                </c:pt>
                <c:pt idx="153">
                  <c:v>46083</c:v>
                </c:pt>
                <c:pt idx="154">
                  <c:v>46084</c:v>
                </c:pt>
                <c:pt idx="155">
                  <c:v>46085</c:v>
                </c:pt>
                <c:pt idx="156">
                  <c:v>46086</c:v>
                </c:pt>
                <c:pt idx="157">
                  <c:v>46087</c:v>
                </c:pt>
                <c:pt idx="158">
                  <c:v>46088</c:v>
                </c:pt>
                <c:pt idx="159">
                  <c:v>46089</c:v>
                </c:pt>
                <c:pt idx="160">
                  <c:v>46090</c:v>
                </c:pt>
                <c:pt idx="161">
                  <c:v>46091</c:v>
                </c:pt>
                <c:pt idx="162">
                  <c:v>46092</c:v>
                </c:pt>
                <c:pt idx="163">
                  <c:v>46093</c:v>
                </c:pt>
                <c:pt idx="164">
                  <c:v>46094</c:v>
                </c:pt>
                <c:pt idx="165">
                  <c:v>46095</c:v>
                </c:pt>
                <c:pt idx="166">
                  <c:v>46096</c:v>
                </c:pt>
                <c:pt idx="167">
                  <c:v>46097</c:v>
                </c:pt>
                <c:pt idx="168">
                  <c:v>46098</c:v>
                </c:pt>
                <c:pt idx="169">
                  <c:v>46099</c:v>
                </c:pt>
                <c:pt idx="170">
                  <c:v>46100</c:v>
                </c:pt>
                <c:pt idx="171">
                  <c:v>46101</c:v>
                </c:pt>
                <c:pt idx="172">
                  <c:v>46102</c:v>
                </c:pt>
                <c:pt idx="173">
                  <c:v>46103</c:v>
                </c:pt>
                <c:pt idx="174">
                  <c:v>46104</c:v>
                </c:pt>
                <c:pt idx="175">
                  <c:v>46105</c:v>
                </c:pt>
                <c:pt idx="176">
                  <c:v>46106</c:v>
                </c:pt>
                <c:pt idx="177">
                  <c:v>46107</c:v>
                </c:pt>
                <c:pt idx="178">
                  <c:v>46108</c:v>
                </c:pt>
                <c:pt idx="179">
                  <c:v>46109</c:v>
                </c:pt>
                <c:pt idx="180">
                  <c:v>46110</c:v>
                </c:pt>
                <c:pt idx="181">
                  <c:v>46111</c:v>
                </c:pt>
                <c:pt idx="182">
                  <c:v>46112</c:v>
                </c:pt>
                <c:pt idx="183">
                  <c:v>46113</c:v>
                </c:pt>
                <c:pt idx="184">
                  <c:v>46114</c:v>
                </c:pt>
                <c:pt idx="185">
                  <c:v>46115</c:v>
                </c:pt>
                <c:pt idx="186">
                  <c:v>46116</c:v>
                </c:pt>
                <c:pt idx="187">
                  <c:v>46117</c:v>
                </c:pt>
                <c:pt idx="188">
                  <c:v>46118</c:v>
                </c:pt>
                <c:pt idx="189">
                  <c:v>46119</c:v>
                </c:pt>
                <c:pt idx="190">
                  <c:v>46120</c:v>
                </c:pt>
                <c:pt idx="191">
                  <c:v>46121</c:v>
                </c:pt>
                <c:pt idx="192">
                  <c:v>46122</c:v>
                </c:pt>
                <c:pt idx="193">
                  <c:v>46123</c:v>
                </c:pt>
                <c:pt idx="194">
                  <c:v>46124</c:v>
                </c:pt>
                <c:pt idx="195">
                  <c:v>46125</c:v>
                </c:pt>
                <c:pt idx="196">
                  <c:v>46126</c:v>
                </c:pt>
                <c:pt idx="197">
                  <c:v>46127</c:v>
                </c:pt>
                <c:pt idx="198">
                  <c:v>46128</c:v>
                </c:pt>
                <c:pt idx="199">
                  <c:v>46129</c:v>
                </c:pt>
                <c:pt idx="200">
                  <c:v>46130</c:v>
                </c:pt>
                <c:pt idx="201">
                  <c:v>46131</c:v>
                </c:pt>
                <c:pt idx="202">
                  <c:v>46132</c:v>
                </c:pt>
                <c:pt idx="203">
                  <c:v>46133</c:v>
                </c:pt>
                <c:pt idx="204">
                  <c:v>46134</c:v>
                </c:pt>
                <c:pt idx="205">
                  <c:v>46135</c:v>
                </c:pt>
                <c:pt idx="206">
                  <c:v>46136</c:v>
                </c:pt>
                <c:pt idx="207">
                  <c:v>46137</c:v>
                </c:pt>
                <c:pt idx="208">
                  <c:v>46138</c:v>
                </c:pt>
                <c:pt idx="209">
                  <c:v>46139</c:v>
                </c:pt>
                <c:pt idx="210">
                  <c:v>46140</c:v>
                </c:pt>
                <c:pt idx="211">
                  <c:v>46141</c:v>
                </c:pt>
                <c:pt idx="212">
                  <c:v>46142</c:v>
                </c:pt>
                <c:pt idx="213">
                  <c:v>46143</c:v>
                </c:pt>
                <c:pt idx="214">
                  <c:v>46144</c:v>
                </c:pt>
                <c:pt idx="215">
                  <c:v>46145</c:v>
                </c:pt>
                <c:pt idx="216">
                  <c:v>46146</c:v>
                </c:pt>
                <c:pt idx="217">
                  <c:v>46147</c:v>
                </c:pt>
                <c:pt idx="218">
                  <c:v>46148</c:v>
                </c:pt>
                <c:pt idx="219">
                  <c:v>46149</c:v>
                </c:pt>
                <c:pt idx="220">
                  <c:v>46150</c:v>
                </c:pt>
                <c:pt idx="221">
                  <c:v>46151</c:v>
                </c:pt>
                <c:pt idx="222">
                  <c:v>46152</c:v>
                </c:pt>
                <c:pt idx="223">
                  <c:v>46153</c:v>
                </c:pt>
                <c:pt idx="224">
                  <c:v>46154</c:v>
                </c:pt>
                <c:pt idx="225">
                  <c:v>46155</c:v>
                </c:pt>
                <c:pt idx="226">
                  <c:v>46156</c:v>
                </c:pt>
                <c:pt idx="227">
                  <c:v>46157</c:v>
                </c:pt>
                <c:pt idx="228">
                  <c:v>46158</c:v>
                </c:pt>
                <c:pt idx="229">
                  <c:v>46159</c:v>
                </c:pt>
                <c:pt idx="230">
                  <c:v>46160</c:v>
                </c:pt>
                <c:pt idx="231">
                  <c:v>46161</c:v>
                </c:pt>
                <c:pt idx="232">
                  <c:v>46162</c:v>
                </c:pt>
                <c:pt idx="233">
                  <c:v>46163</c:v>
                </c:pt>
                <c:pt idx="234">
                  <c:v>46164</c:v>
                </c:pt>
                <c:pt idx="235">
                  <c:v>46165</c:v>
                </c:pt>
                <c:pt idx="236">
                  <c:v>46166</c:v>
                </c:pt>
                <c:pt idx="237">
                  <c:v>46167</c:v>
                </c:pt>
                <c:pt idx="238">
                  <c:v>46168</c:v>
                </c:pt>
                <c:pt idx="239">
                  <c:v>46169</c:v>
                </c:pt>
                <c:pt idx="240">
                  <c:v>46170</c:v>
                </c:pt>
                <c:pt idx="241">
                  <c:v>46171</c:v>
                </c:pt>
                <c:pt idx="242">
                  <c:v>46172</c:v>
                </c:pt>
                <c:pt idx="243">
                  <c:v>46173</c:v>
                </c:pt>
                <c:pt idx="244">
                  <c:v>46174</c:v>
                </c:pt>
                <c:pt idx="245">
                  <c:v>46175</c:v>
                </c:pt>
                <c:pt idx="246">
                  <c:v>46176</c:v>
                </c:pt>
                <c:pt idx="247">
                  <c:v>46177</c:v>
                </c:pt>
                <c:pt idx="248">
                  <c:v>46178</c:v>
                </c:pt>
                <c:pt idx="249">
                  <c:v>46179</c:v>
                </c:pt>
                <c:pt idx="250">
                  <c:v>46180</c:v>
                </c:pt>
                <c:pt idx="251">
                  <c:v>46181</c:v>
                </c:pt>
                <c:pt idx="252">
                  <c:v>46182</c:v>
                </c:pt>
                <c:pt idx="253">
                  <c:v>46183</c:v>
                </c:pt>
                <c:pt idx="254">
                  <c:v>46184</c:v>
                </c:pt>
                <c:pt idx="255">
                  <c:v>46185</c:v>
                </c:pt>
                <c:pt idx="256">
                  <c:v>46186</c:v>
                </c:pt>
                <c:pt idx="257">
                  <c:v>46187</c:v>
                </c:pt>
                <c:pt idx="258">
                  <c:v>46188</c:v>
                </c:pt>
                <c:pt idx="259">
                  <c:v>46189</c:v>
                </c:pt>
                <c:pt idx="260">
                  <c:v>46190</c:v>
                </c:pt>
                <c:pt idx="261">
                  <c:v>46191</c:v>
                </c:pt>
                <c:pt idx="262">
                  <c:v>46192</c:v>
                </c:pt>
                <c:pt idx="263">
                  <c:v>46193</c:v>
                </c:pt>
                <c:pt idx="264">
                  <c:v>46194</c:v>
                </c:pt>
                <c:pt idx="265">
                  <c:v>46195</c:v>
                </c:pt>
                <c:pt idx="266">
                  <c:v>46196</c:v>
                </c:pt>
                <c:pt idx="267">
                  <c:v>46197</c:v>
                </c:pt>
                <c:pt idx="268">
                  <c:v>46198</c:v>
                </c:pt>
                <c:pt idx="269">
                  <c:v>46199</c:v>
                </c:pt>
                <c:pt idx="270">
                  <c:v>46200</c:v>
                </c:pt>
                <c:pt idx="271">
                  <c:v>46201</c:v>
                </c:pt>
                <c:pt idx="272">
                  <c:v>46202</c:v>
                </c:pt>
                <c:pt idx="273">
                  <c:v>46203</c:v>
                </c:pt>
                <c:pt idx="274">
                  <c:v>46204</c:v>
                </c:pt>
                <c:pt idx="275">
                  <c:v>46205</c:v>
                </c:pt>
                <c:pt idx="276">
                  <c:v>46206</c:v>
                </c:pt>
                <c:pt idx="277">
                  <c:v>46207</c:v>
                </c:pt>
                <c:pt idx="278">
                  <c:v>46208</c:v>
                </c:pt>
                <c:pt idx="279">
                  <c:v>46209</c:v>
                </c:pt>
                <c:pt idx="280">
                  <c:v>46210</c:v>
                </c:pt>
                <c:pt idx="281">
                  <c:v>46211</c:v>
                </c:pt>
                <c:pt idx="282">
                  <c:v>46212</c:v>
                </c:pt>
                <c:pt idx="283">
                  <c:v>46213</c:v>
                </c:pt>
                <c:pt idx="284">
                  <c:v>46214</c:v>
                </c:pt>
                <c:pt idx="285">
                  <c:v>46215</c:v>
                </c:pt>
                <c:pt idx="286">
                  <c:v>46216</c:v>
                </c:pt>
                <c:pt idx="287">
                  <c:v>46217</c:v>
                </c:pt>
                <c:pt idx="288">
                  <c:v>46218</c:v>
                </c:pt>
                <c:pt idx="289">
                  <c:v>46219</c:v>
                </c:pt>
                <c:pt idx="290">
                  <c:v>46220</c:v>
                </c:pt>
                <c:pt idx="291">
                  <c:v>46221</c:v>
                </c:pt>
                <c:pt idx="292">
                  <c:v>46222</c:v>
                </c:pt>
                <c:pt idx="293">
                  <c:v>46223</c:v>
                </c:pt>
                <c:pt idx="294">
                  <c:v>46224</c:v>
                </c:pt>
                <c:pt idx="295">
                  <c:v>46225</c:v>
                </c:pt>
                <c:pt idx="296">
                  <c:v>46226</c:v>
                </c:pt>
                <c:pt idx="297">
                  <c:v>46227</c:v>
                </c:pt>
                <c:pt idx="298">
                  <c:v>46228</c:v>
                </c:pt>
                <c:pt idx="299">
                  <c:v>46229</c:v>
                </c:pt>
                <c:pt idx="300">
                  <c:v>46230</c:v>
                </c:pt>
                <c:pt idx="301">
                  <c:v>46231</c:v>
                </c:pt>
                <c:pt idx="302">
                  <c:v>46232</c:v>
                </c:pt>
                <c:pt idx="303">
                  <c:v>46233</c:v>
                </c:pt>
                <c:pt idx="304">
                  <c:v>46234</c:v>
                </c:pt>
                <c:pt idx="305">
                  <c:v>46235</c:v>
                </c:pt>
                <c:pt idx="306">
                  <c:v>46236</c:v>
                </c:pt>
                <c:pt idx="307">
                  <c:v>46237</c:v>
                </c:pt>
                <c:pt idx="308">
                  <c:v>46238</c:v>
                </c:pt>
                <c:pt idx="309">
                  <c:v>46239</c:v>
                </c:pt>
                <c:pt idx="310">
                  <c:v>46240</c:v>
                </c:pt>
                <c:pt idx="311">
                  <c:v>46241</c:v>
                </c:pt>
                <c:pt idx="312">
                  <c:v>46242</c:v>
                </c:pt>
                <c:pt idx="313">
                  <c:v>46243</c:v>
                </c:pt>
                <c:pt idx="314">
                  <c:v>46244</c:v>
                </c:pt>
                <c:pt idx="315">
                  <c:v>46245</c:v>
                </c:pt>
                <c:pt idx="316">
                  <c:v>46246</c:v>
                </c:pt>
                <c:pt idx="317">
                  <c:v>46247</c:v>
                </c:pt>
                <c:pt idx="318">
                  <c:v>46248</c:v>
                </c:pt>
                <c:pt idx="319">
                  <c:v>46249</c:v>
                </c:pt>
                <c:pt idx="320">
                  <c:v>46250</c:v>
                </c:pt>
                <c:pt idx="321">
                  <c:v>46251</c:v>
                </c:pt>
                <c:pt idx="322">
                  <c:v>46252</c:v>
                </c:pt>
                <c:pt idx="323">
                  <c:v>46253</c:v>
                </c:pt>
                <c:pt idx="324">
                  <c:v>46254</c:v>
                </c:pt>
                <c:pt idx="325">
                  <c:v>46255</c:v>
                </c:pt>
                <c:pt idx="326">
                  <c:v>46256</c:v>
                </c:pt>
                <c:pt idx="327">
                  <c:v>46257</c:v>
                </c:pt>
                <c:pt idx="328">
                  <c:v>46258</c:v>
                </c:pt>
                <c:pt idx="329">
                  <c:v>46259</c:v>
                </c:pt>
                <c:pt idx="330">
                  <c:v>46260</c:v>
                </c:pt>
                <c:pt idx="331">
                  <c:v>46261</c:v>
                </c:pt>
                <c:pt idx="332">
                  <c:v>46262</c:v>
                </c:pt>
                <c:pt idx="333">
                  <c:v>46263</c:v>
                </c:pt>
                <c:pt idx="334">
                  <c:v>46264</c:v>
                </c:pt>
                <c:pt idx="335">
                  <c:v>46265</c:v>
                </c:pt>
                <c:pt idx="336">
                  <c:v>46266</c:v>
                </c:pt>
                <c:pt idx="337">
                  <c:v>46267</c:v>
                </c:pt>
                <c:pt idx="338">
                  <c:v>46268</c:v>
                </c:pt>
                <c:pt idx="339">
                  <c:v>46269</c:v>
                </c:pt>
                <c:pt idx="340">
                  <c:v>46270</c:v>
                </c:pt>
                <c:pt idx="341">
                  <c:v>46271</c:v>
                </c:pt>
                <c:pt idx="342">
                  <c:v>46272</c:v>
                </c:pt>
                <c:pt idx="343">
                  <c:v>46273</c:v>
                </c:pt>
                <c:pt idx="344">
                  <c:v>46274</c:v>
                </c:pt>
                <c:pt idx="345">
                  <c:v>46275</c:v>
                </c:pt>
                <c:pt idx="346">
                  <c:v>46276</c:v>
                </c:pt>
                <c:pt idx="347">
                  <c:v>46277</c:v>
                </c:pt>
                <c:pt idx="348">
                  <c:v>46278</c:v>
                </c:pt>
                <c:pt idx="349">
                  <c:v>46279</c:v>
                </c:pt>
                <c:pt idx="350">
                  <c:v>46280</c:v>
                </c:pt>
                <c:pt idx="351">
                  <c:v>46281</c:v>
                </c:pt>
                <c:pt idx="352">
                  <c:v>46282</c:v>
                </c:pt>
                <c:pt idx="353">
                  <c:v>46283</c:v>
                </c:pt>
                <c:pt idx="354">
                  <c:v>46284</c:v>
                </c:pt>
                <c:pt idx="355">
                  <c:v>46285</c:v>
                </c:pt>
                <c:pt idx="356">
                  <c:v>46286</c:v>
                </c:pt>
                <c:pt idx="357">
                  <c:v>46287</c:v>
                </c:pt>
                <c:pt idx="358">
                  <c:v>46288</c:v>
                </c:pt>
                <c:pt idx="359">
                  <c:v>46289</c:v>
                </c:pt>
                <c:pt idx="360">
                  <c:v>46290</c:v>
                </c:pt>
                <c:pt idx="361">
                  <c:v>46291</c:v>
                </c:pt>
                <c:pt idx="362">
                  <c:v>46292</c:v>
                </c:pt>
                <c:pt idx="363">
                  <c:v>46293</c:v>
                </c:pt>
                <c:pt idx="364">
                  <c:v>46294</c:v>
                </c:pt>
                <c:pt idx="365">
                  <c:v>46295</c:v>
                </c:pt>
              </c:numCache>
            </c:numRef>
          </c:cat>
          <c:val>
            <c:numRef>
              <c:f>'Histrorical Data'!$C$4:$C$369</c:f>
              <c:numCache>
                <c:formatCode>General</c:formatCode>
                <c:ptCount val="366"/>
                <c:pt idx="0">
                  <c:v>295.33</c:v>
                </c:pt>
                <c:pt idx="1">
                  <c:v>314.32</c:v>
                </c:pt>
                <c:pt idx="2">
                  <c:v>333.68</c:v>
                </c:pt>
                <c:pt idx="3">
                  <c:v>324.62</c:v>
                </c:pt>
                <c:pt idx="4">
                  <c:v>329.93</c:v>
                </c:pt>
                <c:pt idx="5">
                  <c:v>321.39999999999998</c:v>
                </c:pt>
                <c:pt idx="6">
                  <c:v>310.52999999999997</c:v>
                </c:pt>
                <c:pt idx="7">
                  <c:v>318.23</c:v>
                </c:pt>
                <c:pt idx="8">
                  <c:v>333.16</c:v>
                </c:pt>
                <c:pt idx="9">
                  <c:v>342.27</c:v>
                </c:pt>
                <c:pt idx="10">
                  <c:v>294.82</c:v>
                </c:pt>
                <c:pt idx="11">
                  <c:v>298.27</c:v>
                </c:pt>
                <c:pt idx="12">
                  <c:v>304.74</c:v>
                </c:pt>
                <c:pt idx="13">
                  <c:v>311.16000000000003</c:v>
                </c:pt>
                <c:pt idx="14">
                  <c:v>312.43</c:v>
                </c:pt>
                <c:pt idx="15">
                  <c:v>317.23</c:v>
                </c:pt>
                <c:pt idx="16">
                  <c:v>301.27</c:v>
                </c:pt>
                <c:pt idx="17">
                  <c:v>291.23</c:v>
                </c:pt>
                <c:pt idx="18">
                  <c:v>307.74</c:v>
                </c:pt>
                <c:pt idx="19">
                  <c:v>315.56</c:v>
                </c:pt>
                <c:pt idx="20">
                  <c:v>310.05</c:v>
                </c:pt>
                <c:pt idx="21">
                  <c:v>305.05</c:v>
                </c:pt>
                <c:pt idx="22">
                  <c:v>311.85000000000002</c:v>
                </c:pt>
                <c:pt idx="23">
                  <c:v>323.61</c:v>
                </c:pt>
                <c:pt idx="24">
                  <c:v>327.13</c:v>
                </c:pt>
                <c:pt idx="25">
                  <c:v>333.85</c:v>
                </c:pt>
                <c:pt idx="26">
                  <c:v>348.16</c:v>
                </c:pt>
                <c:pt idx="27">
                  <c:v>340.69</c:v>
                </c:pt>
                <c:pt idx="28">
                  <c:v>335.3</c:v>
                </c:pt>
                <c:pt idx="29">
                  <c:v>336.39</c:v>
                </c:pt>
                <c:pt idx="30">
                  <c:v>323.08</c:v>
                </c:pt>
                <c:pt idx="31">
                  <c:v>334.77</c:v>
                </c:pt>
                <c:pt idx="32">
                  <c:v>348.21</c:v>
                </c:pt>
                <c:pt idx="33">
                  <c:v>347.23</c:v>
                </c:pt>
                <c:pt idx="34">
                  <c:v>345.42</c:v>
                </c:pt>
                <c:pt idx="35">
                  <c:v>338.52</c:v>
                </c:pt>
                <c:pt idx="36">
                  <c:v>344.19</c:v>
                </c:pt>
                <c:pt idx="37">
                  <c:v>359.29</c:v>
                </c:pt>
                <c:pt idx="38">
                  <c:v>368.19</c:v>
                </c:pt>
                <c:pt idx="39">
                  <c:v>366.34</c:v>
                </c:pt>
                <c:pt idx="40">
                  <c:v>416</c:v>
                </c:pt>
                <c:pt idx="41">
                  <c:v>386.83</c:v>
                </c:pt>
                <c:pt idx="42">
                  <c:v>369.34</c:v>
                </c:pt>
                <c:pt idx="43">
                  <c:v>387.27</c:v>
                </c:pt>
                <c:pt idx="44">
                  <c:v>387.01</c:v>
                </c:pt>
                <c:pt idx="45">
                  <c:v>391.53</c:v>
                </c:pt>
                <c:pt idx="46">
                  <c:v>419.65</c:v>
                </c:pt>
                <c:pt idx="47">
                  <c:v>406.11</c:v>
                </c:pt>
                <c:pt idx="48">
                  <c:v>406.52</c:v>
                </c:pt>
                <c:pt idx="49">
                  <c:v>403.8</c:v>
                </c:pt>
                <c:pt idx="50">
                  <c:v>365.41</c:v>
                </c:pt>
                <c:pt idx="51">
                  <c:v>339.27</c:v>
                </c:pt>
                <c:pt idx="52">
                  <c:v>336.17</c:v>
                </c:pt>
                <c:pt idx="53">
                  <c:v>369.13</c:v>
                </c:pt>
                <c:pt idx="54">
                  <c:v>389.4</c:v>
                </c:pt>
                <c:pt idx="55">
                  <c:v>386.75</c:v>
                </c:pt>
                <c:pt idx="56">
                  <c:v>384.78</c:v>
                </c:pt>
                <c:pt idx="57">
                  <c:v>398.26</c:v>
                </c:pt>
                <c:pt idx="58">
                  <c:v>409.52</c:v>
                </c:pt>
                <c:pt idx="59">
                  <c:v>411.21</c:v>
                </c:pt>
                <c:pt idx="60">
                  <c:v>413.43</c:v>
                </c:pt>
                <c:pt idx="61">
                  <c:v>436.3</c:v>
                </c:pt>
                <c:pt idx="62">
                  <c:v>405.84</c:v>
                </c:pt>
                <c:pt idx="63">
                  <c:v>397.96</c:v>
                </c:pt>
                <c:pt idx="64">
                  <c:v>408.35</c:v>
                </c:pt>
                <c:pt idx="65">
                  <c:v>402.64</c:v>
                </c:pt>
                <c:pt idx="66">
                  <c:v>399.56</c:v>
                </c:pt>
                <c:pt idx="67">
                  <c:v>392.68</c:v>
                </c:pt>
                <c:pt idx="68">
                  <c:v>362.62</c:v>
                </c:pt>
                <c:pt idx="69">
                  <c:v>374.23</c:v>
                </c:pt>
                <c:pt idx="70">
                  <c:v>387.95</c:v>
                </c:pt>
                <c:pt idx="71">
                  <c:v>401.12</c:v>
                </c:pt>
                <c:pt idx="72">
                  <c:v>407.26</c:v>
                </c:pt>
                <c:pt idx="73">
                  <c:v>405.63</c:v>
                </c:pt>
                <c:pt idx="74">
                  <c:v>414.14</c:v>
                </c:pt>
                <c:pt idx="75">
                  <c:v>409.3</c:v>
                </c:pt>
                <c:pt idx="76">
                  <c:v>409.75</c:v>
                </c:pt>
                <c:pt idx="77">
                  <c:v>428.62</c:v>
                </c:pt>
                <c:pt idx="78">
                  <c:v>417.7</c:v>
                </c:pt>
                <c:pt idx="79">
                  <c:v>415.19</c:v>
                </c:pt>
                <c:pt idx="80">
                  <c:v>441.56</c:v>
                </c:pt>
                <c:pt idx="81">
                  <c:v>476.67</c:v>
                </c:pt>
                <c:pt idx="82">
                  <c:v>471.46</c:v>
                </c:pt>
                <c:pt idx="83">
                  <c:v>463.15</c:v>
                </c:pt>
                <c:pt idx="84">
                  <c:v>448.94</c:v>
                </c:pt>
                <c:pt idx="85">
                  <c:v>435.26</c:v>
                </c:pt>
                <c:pt idx="86">
                  <c:v>443.48</c:v>
                </c:pt>
                <c:pt idx="87">
                  <c:v>444.87</c:v>
                </c:pt>
                <c:pt idx="88">
                  <c:v>453.5</c:v>
                </c:pt>
                <c:pt idx="89">
                  <c:v>453.07</c:v>
                </c:pt>
                <c:pt idx="90">
                  <c:v>437.45</c:v>
                </c:pt>
                <c:pt idx="91">
                  <c:v>438.67</c:v>
                </c:pt>
                <c:pt idx="92">
                  <c:v>433.27</c:v>
                </c:pt>
                <c:pt idx="93">
                  <c:v>419.58</c:v>
                </c:pt>
                <c:pt idx="94">
                  <c:v>424.64</c:v>
                </c:pt>
                <c:pt idx="95">
                  <c:v>434.48</c:v>
                </c:pt>
                <c:pt idx="96">
                  <c:v>418.13</c:v>
                </c:pt>
                <c:pt idx="97">
                  <c:v>436.68</c:v>
                </c:pt>
                <c:pt idx="98">
                  <c:v>441.04</c:v>
                </c:pt>
                <c:pt idx="99">
                  <c:v>436.39</c:v>
                </c:pt>
                <c:pt idx="100">
                  <c:v>451.75</c:v>
                </c:pt>
                <c:pt idx="101">
                  <c:v>450.93</c:v>
                </c:pt>
                <c:pt idx="102">
                  <c:v>471.56</c:v>
                </c:pt>
                <c:pt idx="103">
                  <c:v>558.53</c:v>
                </c:pt>
                <c:pt idx="104">
                  <c:v>634.73</c:v>
                </c:pt>
                <c:pt idx="105">
                  <c:v>680.16</c:v>
                </c:pt>
                <c:pt idx="106">
                  <c:v>713.44</c:v>
                </c:pt>
                <c:pt idx="107">
                  <c:v>677.92</c:v>
                </c:pt>
                <c:pt idx="108">
                  <c:v>619.84</c:v>
                </c:pt>
                <c:pt idx="109">
                  <c:v>586.64</c:v>
                </c:pt>
                <c:pt idx="110">
                  <c:v>573.14</c:v>
                </c:pt>
                <c:pt idx="111">
                  <c:v>622.25</c:v>
                </c:pt>
                <c:pt idx="112">
                  <c:v>503.26</c:v>
                </c:pt>
                <c:pt idx="113">
                  <c:v>521.62</c:v>
                </c:pt>
                <c:pt idx="114">
                  <c:v>515.97</c:v>
                </c:pt>
                <c:pt idx="115">
                  <c:v>512.02</c:v>
                </c:pt>
                <c:pt idx="116">
                  <c:v>502.99</c:v>
                </c:pt>
                <c:pt idx="117">
                  <c:v>449.31</c:v>
                </c:pt>
                <c:pt idx="118">
                  <c:v>460.63</c:v>
                </c:pt>
                <c:pt idx="119">
                  <c:v>469.66</c:v>
                </c:pt>
                <c:pt idx="120">
                  <c:v>468.63</c:v>
                </c:pt>
                <c:pt idx="121">
                  <c:v>459.15</c:v>
                </c:pt>
                <c:pt idx="122">
                  <c:v>460.4</c:v>
                </c:pt>
                <c:pt idx="123">
                  <c:v>463.89</c:v>
                </c:pt>
                <c:pt idx="124">
                  <c:v>404.95</c:v>
                </c:pt>
                <c:pt idx="125">
                  <c:v>386.89</c:v>
                </c:pt>
                <c:pt idx="126">
                  <c:v>374.59</c:v>
                </c:pt>
                <c:pt idx="127">
                  <c:v>382.41</c:v>
                </c:pt>
                <c:pt idx="128">
                  <c:v>292.44</c:v>
                </c:pt>
                <c:pt idx="129">
                  <c:v>321.5</c:v>
                </c:pt>
                <c:pt idx="130">
                  <c:v>329.64</c:v>
                </c:pt>
                <c:pt idx="131">
                  <c:v>318.33</c:v>
                </c:pt>
                <c:pt idx="132">
                  <c:v>334.91</c:v>
                </c:pt>
                <c:pt idx="133">
                  <c:v>344.93</c:v>
                </c:pt>
                <c:pt idx="134">
                  <c:v>346.1</c:v>
                </c:pt>
                <c:pt idx="135">
                  <c:v>335.32</c:v>
                </c:pt>
                <c:pt idx="136">
                  <c:v>352.18</c:v>
                </c:pt>
                <c:pt idx="137">
                  <c:v>357.67</c:v>
                </c:pt>
                <c:pt idx="138">
                  <c:v>331.25</c:v>
                </c:pt>
                <c:pt idx="139">
                  <c:v>326.44</c:v>
                </c:pt>
                <c:pt idx="140">
                  <c:v>333.04</c:v>
                </c:pt>
                <c:pt idx="141">
                  <c:v>330.25</c:v>
                </c:pt>
                <c:pt idx="142">
                  <c:v>338.08</c:v>
                </c:pt>
                <c:pt idx="143">
                  <c:v>331.6</c:v>
                </c:pt>
                <c:pt idx="144">
                  <c:v>326.57</c:v>
                </c:pt>
                <c:pt idx="145">
                  <c:v>327.83</c:v>
                </c:pt>
                <c:pt idx="146">
                  <c:v>307.27</c:v>
                </c:pt>
                <c:pt idx="147">
                  <c:v>321.33</c:v>
                </c:pt>
                <c:pt idx="148">
                  <c:v>344.5</c:v>
                </c:pt>
                <c:pt idx="149">
                  <c:v>342.61</c:v>
                </c:pt>
                <c:pt idx="150">
                  <c:v>337.76</c:v>
                </c:pt>
                <c:pt idx="151">
                  <c:v>336.87</c:v>
                </c:pt>
                <c:pt idx="152">
                  <c:v>341.99</c:v>
                </c:pt>
                <c:pt idx="153">
                  <c:v>345.93</c:v>
                </c:pt>
                <c:pt idx="154">
                  <c:v>340.9</c:v>
                </c:pt>
                <c:pt idx="155">
                  <c:v>355.13</c:v>
                </c:pt>
                <c:pt idx="156">
                  <c:v>361.98</c:v>
                </c:pt>
                <c:pt idx="157">
                  <c:v>352.07</c:v>
                </c:pt>
                <c:pt idx="158">
                  <c:v>344.04</c:v>
                </c:pt>
                <c:pt idx="159">
                  <c:v>335</c:v>
                </c:pt>
                <c:pt idx="160">
                  <c:v>341.02</c:v>
                </c:pt>
                <c:pt idx="161">
                  <c:v>353.09</c:v>
                </c:pt>
                <c:pt idx="162">
                  <c:v>352.46</c:v>
                </c:pt>
                <c:pt idx="163">
                  <c:v>350.28</c:v>
                </c:pt>
                <c:pt idx="164">
                  <c:v>358.51</c:v>
                </c:pt>
                <c:pt idx="165">
                  <c:v>355.41</c:v>
                </c:pt>
                <c:pt idx="166">
                  <c:v>358.21</c:v>
                </c:pt>
                <c:pt idx="167">
                  <c:v>373.33</c:v>
                </c:pt>
                <c:pt idx="168">
                  <c:v>368.58</c:v>
                </c:pt>
                <c:pt idx="169">
                  <c:v>346.68</c:v>
                </c:pt>
                <c:pt idx="170">
                  <c:v>339.73</c:v>
                </c:pt>
                <c:pt idx="171">
                  <c:v>348.13</c:v>
                </c:pt>
                <c:pt idx="172">
                  <c:v>341.3</c:v>
                </c:pt>
                <c:pt idx="173">
                  <c:v>362.07</c:v>
                </c:pt>
                <c:pt idx="174">
                  <c:v>350.71</c:v>
                </c:pt>
                <c:pt idx="175">
                  <c:v>339.63</c:v>
                </c:pt>
                <c:pt idx="176">
                  <c:v>340.55</c:v>
                </c:pt>
                <c:pt idx="177">
                  <c:v>328.39</c:v>
                </c:pt>
                <c:pt idx="178">
                  <c:v>325.2</c:v>
                </c:pt>
                <c:pt idx="179">
                  <c:v>329.69</c:v>
                </c:pt>
                <c:pt idx="180">
                  <c:v>326.99</c:v>
                </c:pt>
                <c:pt idx="181">
                  <c:v>321.29000000000002</c:v>
                </c:pt>
                <c:pt idx="182">
                  <c:v>333.05</c:v>
                </c:pt>
                <c:pt idx="183">
                  <c:v>336.57</c:v>
                </c:pt>
                <c:pt idx="184">
                  <c:v>326.08999999999997</c:v>
                </c:pt>
                <c:pt idx="185">
                  <c:v>315.45999999999998</c:v>
                </c:pt>
                <c:pt idx="186">
                  <c:v>325.14999999999998</c:v>
                </c:pt>
                <c:pt idx="187">
                  <c:v>330.99</c:v>
                </c:pt>
                <c:pt idx="188">
                  <c:v>326.2</c:v>
                </c:pt>
                <c:pt idx="189">
                  <c:v>344.64</c:v>
                </c:pt>
                <c:pt idx="190">
                  <c:v>325.72000000000003</c:v>
                </c:pt>
                <c:pt idx="191">
                  <c:v>347.11</c:v>
                </c:pt>
                <c:pt idx="192">
                  <c:v>344.15</c:v>
                </c:pt>
                <c:pt idx="193">
                  <c:v>338.66</c:v>
                </c:pt>
                <c:pt idx="194">
                  <c:v>335.12</c:v>
                </c:pt>
                <c:pt idx="195">
                  <c:v>346.79</c:v>
                </c:pt>
                <c:pt idx="196">
                  <c:v>344.34</c:v>
                </c:pt>
                <c:pt idx="197">
                  <c:v>344.89</c:v>
                </c:pt>
                <c:pt idx="198">
                  <c:v>343.45</c:v>
                </c:pt>
                <c:pt idx="199">
                  <c:v>348.27</c:v>
                </c:pt>
                <c:pt idx="200">
                  <c:v>349.73</c:v>
                </c:pt>
                <c:pt idx="201">
                  <c:v>347.68</c:v>
                </c:pt>
                <c:pt idx="202">
                  <c:v>353.44</c:v>
                </c:pt>
                <c:pt idx="203">
                  <c:v>385.06</c:v>
                </c:pt>
                <c:pt idx="204">
                  <c:v>366.75</c:v>
                </c:pt>
                <c:pt idx="205">
                  <c:v>379.1</c:v>
                </c:pt>
                <c:pt idx="206">
                  <c:v>368.4</c:v>
                </c:pt>
                <c:pt idx="207">
                  <c:v>372.53</c:v>
                </c:pt>
                <c:pt idx="208">
                  <c:v>391.8</c:v>
                </c:pt>
                <c:pt idx="209">
                  <c:v>380.03</c:v>
                </c:pt>
                <c:pt idx="210">
                  <c:v>378.12</c:v>
                </c:pt>
                <c:pt idx="211">
                  <c:v>376.22</c:v>
                </c:pt>
                <c:pt idx="212">
                  <c:v>379.81</c:v>
                </c:pt>
                <c:pt idx="213">
                  <c:v>379.29</c:v>
                </c:pt>
                <c:pt idx="214">
                  <c:v>383.1</c:v>
                </c:pt>
                <c:pt idx="215">
                  <c:v>391.48</c:v>
                </c:pt>
                <c:pt idx="216">
                  <c:v>406.23</c:v>
                </c:pt>
                <c:pt idx="217">
                  <c:v>411.95</c:v>
                </c:pt>
                <c:pt idx="218">
                  <c:v>415.71</c:v>
                </c:pt>
                <c:pt idx="219">
                  <c:v>399.72</c:v>
                </c:pt>
                <c:pt idx="220">
                  <c:v>400.18</c:v>
                </c:pt>
                <c:pt idx="221">
                  <c:v>410.19</c:v>
                </c:pt>
                <c:pt idx="222">
                  <c:v>409.83</c:v>
                </c:pt>
                <c:pt idx="223">
                  <c:v>416.29</c:v>
                </c:pt>
                <c:pt idx="224">
                  <c:v>411.25</c:v>
                </c:pt>
                <c:pt idx="225">
                  <c:v>397.83</c:v>
                </c:pt>
                <c:pt idx="226">
                  <c:v>395.78</c:v>
                </c:pt>
                <c:pt idx="227">
                  <c:v>381.6</c:v>
                </c:pt>
                <c:pt idx="228">
                  <c:v>388.56</c:v>
                </c:pt>
                <c:pt idx="229">
                  <c:v>389.1</c:v>
                </c:pt>
                <c:pt idx="230">
                  <c:v>383.4</c:v>
                </c:pt>
                <c:pt idx="231">
                  <c:v>398.91</c:v>
                </c:pt>
                <c:pt idx="232">
                  <c:v>404.46</c:v>
                </c:pt>
                <c:pt idx="233">
                  <c:v>391.93</c:v>
                </c:pt>
                <c:pt idx="234">
                  <c:v>381.19</c:v>
                </c:pt>
                <c:pt idx="235">
                  <c:v>386.86</c:v>
                </c:pt>
                <c:pt idx="236">
                  <c:v>392.71</c:v>
                </c:pt>
                <c:pt idx="237">
                  <c:v>385.98</c:v>
                </c:pt>
                <c:pt idx="238">
                  <c:v>380.03</c:v>
                </c:pt>
                <c:pt idx="239">
                  <c:v>392.92</c:v>
                </c:pt>
                <c:pt idx="240">
                  <c:v>353.83</c:v>
                </c:pt>
                <c:pt idx="241">
                  <c:v>397.17</c:v>
                </c:pt>
                <c:pt idx="242">
                  <c:v>370.43</c:v>
                </c:pt>
                <c:pt idx="243">
                  <c:v>367.19</c:v>
                </c:pt>
                <c:pt idx="244">
                  <c:v>343.76</c:v>
                </c:pt>
                <c:pt idx="245">
                  <c:v>325.64999999999998</c:v>
                </c:pt>
                <c:pt idx="246">
                  <c:v>362.39</c:v>
                </c:pt>
                <c:pt idx="247">
                  <c:v>372.61</c:v>
                </c:pt>
                <c:pt idx="248">
                  <c:v>307.22000000000003</c:v>
                </c:pt>
                <c:pt idx="249">
                  <c:v>295.76</c:v>
                </c:pt>
                <c:pt idx="250">
                  <c:v>303.72000000000003</c:v>
                </c:pt>
                <c:pt idx="251">
                  <c:v>314.51</c:v>
                </c:pt>
                <c:pt idx="252">
                  <c:v>311.24</c:v>
                </c:pt>
                <c:pt idx="253">
                  <c:v>334.72</c:v>
                </c:pt>
                <c:pt idx="254">
                  <c:v>388.35</c:v>
                </c:pt>
                <c:pt idx="255">
                  <c:v>353.22</c:v>
                </c:pt>
                <c:pt idx="256">
                  <c:v>338.37</c:v>
                </c:pt>
                <c:pt idx="257">
                  <c:v>340.22</c:v>
                </c:pt>
                <c:pt idx="258">
                  <c:v>348.5</c:v>
                </c:pt>
                <c:pt idx="259">
                  <c:v>345.53</c:v>
                </c:pt>
                <c:pt idx="260">
                  <c:v>336.68</c:v>
                </c:pt>
                <c:pt idx="261">
                  <c:v>318.89999999999998</c:v>
                </c:pt>
                <c:pt idx="262">
                  <c:v>315.02</c:v>
                </c:pt>
                <c:pt idx="263">
                  <c:v>320.58999999999997</c:v>
                </c:pt>
                <c:pt idx="264">
                  <c:v>320.23</c:v>
                </c:pt>
                <c:pt idx="265">
                  <c:v>317.23</c:v>
                </c:pt>
                <c:pt idx="266">
                  <c:v>318.38</c:v>
                </c:pt>
                <c:pt idx="267">
                  <c:v>314.27999999999997</c:v>
                </c:pt>
                <c:pt idx="268">
                  <c:v>307.48</c:v>
                </c:pt>
                <c:pt idx="269">
                  <c:v>320.82</c:v>
                </c:pt>
                <c:pt idx="270">
                  <c:v>312.72000000000003</c:v>
                </c:pt>
                <c:pt idx="271">
                  <c:v>310.44</c:v>
                </c:pt>
                <c:pt idx="272">
                  <c:v>315.86</c:v>
                </c:pt>
                <c:pt idx="273">
                  <c:v>303.11</c:v>
                </c:pt>
                <c:pt idx="274">
                  <c:v>309.01</c:v>
                </c:pt>
                <c:pt idx="275">
                  <c:v>316.98</c:v>
                </c:pt>
                <c:pt idx="276">
                  <c:v>323.48</c:v>
                </c:pt>
                <c:pt idx="277">
                  <c:v>328.32</c:v>
                </c:pt>
                <c:pt idx="278">
                  <c:v>327.94</c:v>
                </c:pt>
                <c:pt idx="279">
                  <c:v>323.39</c:v>
                </c:pt>
                <c:pt idx="280">
                  <c:v>334.89</c:v>
                </c:pt>
                <c:pt idx="281">
                  <c:v>320.27999999999997</c:v>
                </c:pt>
                <c:pt idx="282">
                  <c:v>313.98</c:v>
                </c:pt>
                <c:pt idx="283">
                  <c:v>322.08</c:v>
                </c:pt>
                <c:pt idx="284">
                  <c:v>322.77999999999997</c:v>
                </c:pt>
                <c:pt idx="285">
                  <c:v>324.52999999999997</c:v>
                </c:pt>
                <c:pt idx="286">
                  <c:v>321.29000000000002</c:v>
                </c:pt>
                <c:pt idx="287">
                  <c:v>330.94</c:v>
                </c:pt>
                <c:pt idx="288">
                  <c:v>329.89</c:v>
                </c:pt>
                <c:pt idx="289">
                  <c:v>334.91</c:v>
                </c:pt>
                <c:pt idx="290">
                  <c:v>330.56</c:v>
                </c:pt>
                <c:pt idx="291">
                  <c:v>335.86</c:v>
                </c:pt>
                <c:pt idx="292">
                  <c:v>335.9</c:v>
                </c:pt>
                <c:pt idx="293">
                  <c:v>337.4</c:v>
                </c:pt>
                <c:pt idx="294">
                  <c:v>357.23</c:v>
                </c:pt>
                <c:pt idx="295">
                  <c:v>352.31</c:v>
                </c:pt>
                <c:pt idx="296">
                  <c:v>355.65</c:v>
                </c:pt>
                <c:pt idx="297">
                  <c:v>363.67</c:v>
                </c:pt>
                <c:pt idx="298">
                  <c:v>363.94</c:v>
                </c:pt>
                <c:pt idx="299">
                  <c:v>353.74</c:v>
                </c:pt>
                <c:pt idx="300">
                  <c:v>346.33</c:v>
                </c:pt>
                <c:pt idx="301">
                  <c:v>341.49</c:v>
                </c:pt>
                <c:pt idx="302">
                  <c:v>353.06</c:v>
                </c:pt>
                <c:pt idx="303">
                  <c:v>360.45</c:v>
                </c:pt>
                <c:pt idx="304">
                  <c:v>358.34</c:v>
                </c:pt>
                <c:pt idx="305">
                  <c:v>363.85</c:v>
                </c:pt>
                <c:pt idx="306">
                  <c:v>364.1</c:v>
                </c:pt>
                <c:pt idx="307">
                  <c:v>362.28</c:v>
                </c:pt>
                <c:pt idx="308">
                  <c:v>350.67</c:v>
                </c:pt>
                <c:pt idx="309">
                  <c:v>365.91</c:v>
                </c:pt>
                <c:pt idx="310">
                  <c:v>369.52</c:v>
                </c:pt>
                <c:pt idx="311">
                  <c:v>377.9</c:v>
                </c:pt>
                <c:pt idx="312">
                  <c:v>377.06</c:v>
                </c:pt>
                <c:pt idx="313">
                  <c:v>394.69</c:v>
                </c:pt>
                <c:pt idx="314">
                  <c:v>396.81</c:v>
                </c:pt>
                <c:pt idx="315">
                  <c:v>377.19</c:v>
                </c:pt>
                <c:pt idx="316">
                  <c:v>392.43</c:v>
                </c:pt>
                <c:pt idx="317">
                  <c:v>393.51</c:v>
                </c:pt>
                <c:pt idx="318">
                  <c:v>399.43</c:v>
                </c:pt>
                <c:pt idx="319">
                  <c:v>410.36</c:v>
                </c:pt>
                <c:pt idx="320">
                  <c:v>409.8</c:v>
                </c:pt>
                <c:pt idx="321">
                  <c:v>415.66</c:v>
                </c:pt>
                <c:pt idx="322">
                  <c:v>412.44</c:v>
                </c:pt>
                <c:pt idx="323">
                  <c:v>421.97</c:v>
                </c:pt>
                <c:pt idx="324">
                  <c:v>408.69</c:v>
                </c:pt>
                <c:pt idx="325">
                  <c:v>412.13</c:v>
                </c:pt>
                <c:pt idx="326">
                  <c:v>432.58</c:v>
                </c:pt>
                <c:pt idx="327">
                  <c:v>421.83</c:v>
                </c:pt>
                <c:pt idx="328">
                  <c:v>441.41</c:v>
                </c:pt>
                <c:pt idx="329">
                  <c:v>439.09</c:v>
                </c:pt>
                <c:pt idx="330">
                  <c:v>438.17</c:v>
                </c:pt>
                <c:pt idx="331">
                  <c:v>454.93</c:v>
                </c:pt>
                <c:pt idx="332">
                  <c:v>471.94</c:v>
                </c:pt>
                <c:pt idx="333">
                  <c:v>470.72</c:v>
                </c:pt>
                <c:pt idx="334">
                  <c:v>486.08</c:v>
                </c:pt>
                <c:pt idx="335">
                  <c:v>517.64</c:v>
                </c:pt>
                <c:pt idx="336">
                  <c:v>504.49</c:v>
                </c:pt>
                <c:pt idx="337">
                  <c:v>495.34</c:v>
                </c:pt>
                <c:pt idx="338">
                  <c:v>520.80999999999995</c:v>
                </c:pt>
                <c:pt idx="339">
                  <c:v>521.13</c:v>
                </c:pt>
                <c:pt idx="340">
                  <c:v>553.79999999999995</c:v>
                </c:pt>
                <c:pt idx="341">
                  <c:v>539.6</c:v>
                </c:pt>
                <c:pt idx="342">
                  <c:v>519.70000000000005</c:v>
                </c:pt>
                <c:pt idx="343">
                  <c:v>500.08</c:v>
                </c:pt>
                <c:pt idx="344">
                  <c:v>512.02</c:v>
                </c:pt>
                <c:pt idx="345">
                  <c:v>508.07</c:v>
                </c:pt>
                <c:pt idx="346">
                  <c:v>521.28</c:v>
                </c:pt>
                <c:pt idx="347">
                  <c:v>539.09</c:v>
                </c:pt>
                <c:pt idx="348">
                  <c:v>518.12</c:v>
                </c:pt>
                <c:pt idx="349">
                  <c:v>512.89</c:v>
                </c:pt>
                <c:pt idx="350">
                  <c:v>505.88</c:v>
                </c:pt>
                <c:pt idx="351">
                  <c:v>497.88</c:v>
                </c:pt>
                <c:pt idx="352">
                  <c:v>517.58000000000004</c:v>
                </c:pt>
                <c:pt idx="353">
                  <c:v>563.45000000000005</c:v>
                </c:pt>
                <c:pt idx="354">
                  <c:v>546.73</c:v>
                </c:pt>
                <c:pt idx="355">
                  <c:v>562.98</c:v>
                </c:pt>
                <c:pt idx="356">
                  <c:v>589.41999999999996</c:v>
                </c:pt>
                <c:pt idx="357">
                  <c:v>573.51</c:v>
                </c:pt>
                <c:pt idx="358">
                  <c:v>552.54</c:v>
                </c:pt>
                <c:pt idx="359">
                  <c:v>564.6</c:v>
                </c:pt>
                <c:pt idx="360">
                  <c:v>557.14</c:v>
                </c:pt>
                <c:pt idx="361">
                  <c:v>559.45000000000005</c:v>
                </c:pt>
                <c:pt idx="362">
                  <c:v>547.54999999999995</c:v>
                </c:pt>
                <c:pt idx="363">
                  <c:v>541.1</c:v>
                </c:pt>
                <c:pt idx="364">
                  <c:v>541.76</c:v>
                </c:pt>
                <c:pt idx="365">
                  <c:v>544.45000000000005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460-4CED-BBDD-15B0A093C4EA}"/>
            </c:ext>
          </c:extLst>
        </c:ser>
        <c:ser>
          <c:idx val="2"/>
          <c:order val="5"/>
          <c:tx>
            <c:strRef>
              <c:f>'Histrorical Data'!$D$3</c:f>
              <c:strCache>
                <c:ptCount val="1"/>
                <c:pt idx="0">
                  <c:v>Solana(SOL) Price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'Histrorical Data'!$A$4:$A$369</c:f>
              <c:numCache>
                <c:formatCode>[$-F800]dddd\,\ mmmm\ dd\,\ yyyy</c:formatCode>
                <c:ptCount val="366"/>
                <c:pt idx="0">
                  <c:v>45930</c:v>
                </c:pt>
                <c:pt idx="1">
                  <c:v>45931</c:v>
                </c:pt>
                <c:pt idx="2">
                  <c:v>45932</c:v>
                </c:pt>
                <c:pt idx="3">
                  <c:v>45933</c:v>
                </c:pt>
                <c:pt idx="4">
                  <c:v>45934</c:v>
                </c:pt>
                <c:pt idx="5">
                  <c:v>45935</c:v>
                </c:pt>
                <c:pt idx="6">
                  <c:v>45936</c:v>
                </c:pt>
                <c:pt idx="7">
                  <c:v>45937</c:v>
                </c:pt>
                <c:pt idx="8">
                  <c:v>45938</c:v>
                </c:pt>
                <c:pt idx="9">
                  <c:v>45939</c:v>
                </c:pt>
                <c:pt idx="10">
                  <c:v>45940</c:v>
                </c:pt>
                <c:pt idx="11">
                  <c:v>45941</c:v>
                </c:pt>
                <c:pt idx="12">
                  <c:v>45942</c:v>
                </c:pt>
                <c:pt idx="13">
                  <c:v>45943</c:v>
                </c:pt>
                <c:pt idx="14">
                  <c:v>45944</c:v>
                </c:pt>
                <c:pt idx="15">
                  <c:v>45945</c:v>
                </c:pt>
                <c:pt idx="16">
                  <c:v>45946</c:v>
                </c:pt>
                <c:pt idx="17">
                  <c:v>45947</c:v>
                </c:pt>
                <c:pt idx="18">
                  <c:v>45948</c:v>
                </c:pt>
                <c:pt idx="19">
                  <c:v>45949</c:v>
                </c:pt>
                <c:pt idx="20">
                  <c:v>45950</c:v>
                </c:pt>
                <c:pt idx="21">
                  <c:v>45951</c:v>
                </c:pt>
                <c:pt idx="22">
                  <c:v>45952</c:v>
                </c:pt>
                <c:pt idx="23">
                  <c:v>45953</c:v>
                </c:pt>
                <c:pt idx="24">
                  <c:v>45954</c:v>
                </c:pt>
                <c:pt idx="25">
                  <c:v>45955</c:v>
                </c:pt>
                <c:pt idx="26">
                  <c:v>45956</c:v>
                </c:pt>
                <c:pt idx="27">
                  <c:v>45957</c:v>
                </c:pt>
                <c:pt idx="28">
                  <c:v>45958</c:v>
                </c:pt>
                <c:pt idx="29">
                  <c:v>45959</c:v>
                </c:pt>
                <c:pt idx="30">
                  <c:v>45960</c:v>
                </c:pt>
                <c:pt idx="31">
                  <c:v>45961</c:v>
                </c:pt>
                <c:pt idx="32">
                  <c:v>45962</c:v>
                </c:pt>
                <c:pt idx="33">
                  <c:v>45963</c:v>
                </c:pt>
                <c:pt idx="34">
                  <c:v>45964</c:v>
                </c:pt>
                <c:pt idx="35">
                  <c:v>45965</c:v>
                </c:pt>
                <c:pt idx="36">
                  <c:v>45966</c:v>
                </c:pt>
                <c:pt idx="37">
                  <c:v>45967</c:v>
                </c:pt>
                <c:pt idx="38">
                  <c:v>45968</c:v>
                </c:pt>
                <c:pt idx="39">
                  <c:v>45969</c:v>
                </c:pt>
                <c:pt idx="40">
                  <c:v>45970</c:v>
                </c:pt>
                <c:pt idx="41">
                  <c:v>45971</c:v>
                </c:pt>
                <c:pt idx="42">
                  <c:v>45972</c:v>
                </c:pt>
                <c:pt idx="43">
                  <c:v>45973</c:v>
                </c:pt>
                <c:pt idx="44">
                  <c:v>45974</c:v>
                </c:pt>
                <c:pt idx="45">
                  <c:v>45975</c:v>
                </c:pt>
                <c:pt idx="46">
                  <c:v>45976</c:v>
                </c:pt>
                <c:pt idx="47">
                  <c:v>45977</c:v>
                </c:pt>
                <c:pt idx="48">
                  <c:v>45978</c:v>
                </c:pt>
                <c:pt idx="49">
                  <c:v>45979</c:v>
                </c:pt>
                <c:pt idx="50">
                  <c:v>45980</c:v>
                </c:pt>
                <c:pt idx="51">
                  <c:v>45981</c:v>
                </c:pt>
                <c:pt idx="52">
                  <c:v>45982</c:v>
                </c:pt>
                <c:pt idx="53">
                  <c:v>45983</c:v>
                </c:pt>
                <c:pt idx="54">
                  <c:v>45984</c:v>
                </c:pt>
                <c:pt idx="55">
                  <c:v>45985</c:v>
                </c:pt>
                <c:pt idx="56">
                  <c:v>45986</c:v>
                </c:pt>
                <c:pt idx="57">
                  <c:v>45987</c:v>
                </c:pt>
                <c:pt idx="58">
                  <c:v>45988</c:v>
                </c:pt>
                <c:pt idx="59">
                  <c:v>45989</c:v>
                </c:pt>
                <c:pt idx="60">
                  <c:v>45990</c:v>
                </c:pt>
                <c:pt idx="61">
                  <c:v>45991</c:v>
                </c:pt>
                <c:pt idx="62">
                  <c:v>45992</c:v>
                </c:pt>
                <c:pt idx="63">
                  <c:v>45993</c:v>
                </c:pt>
                <c:pt idx="64">
                  <c:v>45994</c:v>
                </c:pt>
                <c:pt idx="65">
                  <c:v>45995</c:v>
                </c:pt>
                <c:pt idx="66">
                  <c:v>45996</c:v>
                </c:pt>
                <c:pt idx="67">
                  <c:v>45997</c:v>
                </c:pt>
                <c:pt idx="68">
                  <c:v>45998</c:v>
                </c:pt>
                <c:pt idx="69">
                  <c:v>45999</c:v>
                </c:pt>
                <c:pt idx="70">
                  <c:v>46000</c:v>
                </c:pt>
                <c:pt idx="71">
                  <c:v>46001</c:v>
                </c:pt>
                <c:pt idx="72">
                  <c:v>46002</c:v>
                </c:pt>
                <c:pt idx="73">
                  <c:v>46003</c:v>
                </c:pt>
                <c:pt idx="74">
                  <c:v>46004</c:v>
                </c:pt>
                <c:pt idx="75">
                  <c:v>46005</c:v>
                </c:pt>
                <c:pt idx="76">
                  <c:v>46006</c:v>
                </c:pt>
                <c:pt idx="77">
                  <c:v>46007</c:v>
                </c:pt>
                <c:pt idx="78">
                  <c:v>46008</c:v>
                </c:pt>
                <c:pt idx="79">
                  <c:v>46009</c:v>
                </c:pt>
                <c:pt idx="80">
                  <c:v>46010</c:v>
                </c:pt>
                <c:pt idx="81">
                  <c:v>46011</c:v>
                </c:pt>
                <c:pt idx="82">
                  <c:v>46012</c:v>
                </c:pt>
                <c:pt idx="83">
                  <c:v>46013</c:v>
                </c:pt>
                <c:pt idx="84">
                  <c:v>46014</c:v>
                </c:pt>
                <c:pt idx="85">
                  <c:v>46015</c:v>
                </c:pt>
                <c:pt idx="86">
                  <c:v>46016</c:v>
                </c:pt>
                <c:pt idx="87">
                  <c:v>46017</c:v>
                </c:pt>
                <c:pt idx="88">
                  <c:v>46018</c:v>
                </c:pt>
                <c:pt idx="89">
                  <c:v>46019</c:v>
                </c:pt>
                <c:pt idx="90">
                  <c:v>46020</c:v>
                </c:pt>
                <c:pt idx="91">
                  <c:v>46021</c:v>
                </c:pt>
                <c:pt idx="92">
                  <c:v>46022</c:v>
                </c:pt>
                <c:pt idx="93">
                  <c:v>46023</c:v>
                </c:pt>
                <c:pt idx="94">
                  <c:v>46024</c:v>
                </c:pt>
                <c:pt idx="95">
                  <c:v>46025</c:v>
                </c:pt>
                <c:pt idx="96">
                  <c:v>46026</c:v>
                </c:pt>
                <c:pt idx="97">
                  <c:v>46027</c:v>
                </c:pt>
                <c:pt idx="98">
                  <c:v>46028</c:v>
                </c:pt>
                <c:pt idx="99">
                  <c:v>46029</c:v>
                </c:pt>
                <c:pt idx="100">
                  <c:v>46030</c:v>
                </c:pt>
                <c:pt idx="101">
                  <c:v>46031</c:v>
                </c:pt>
                <c:pt idx="102">
                  <c:v>46032</c:v>
                </c:pt>
                <c:pt idx="103">
                  <c:v>46033</c:v>
                </c:pt>
                <c:pt idx="104">
                  <c:v>46034</c:v>
                </c:pt>
                <c:pt idx="105">
                  <c:v>46035</c:v>
                </c:pt>
                <c:pt idx="106">
                  <c:v>46036</c:v>
                </c:pt>
                <c:pt idx="107">
                  <c:v>46037</c:v>
                </c:pt>
                <c:pt idx="108">
                  <c:v>46038</c:v>
                </c:pt>
                <c:pt idx="109">
                  <c:v>46039</c:v>
                </c:pt>
                <c:pt idx="110">
                  <c:v>46040</c:v>
                </c:pt>
                <c:pt idx="111">
                  <c:v>46041</c:v>
                </c:pt>
                <c:pt idx="112">
                  <c:v>46042</c:v>
                </c:pt>
                <c:pt idx="113">
                  <c:v>46043</c:v>
                </c:pt>
                <c:pt idx="114">
                  <c:v>46044</c:v>
                </c:pt>
                <c:pt idx="115">
                  <c:v>46045</c:v>
                </c:pt>
                <c:pt idx="116">
                  <c:v>46046</c:v>
                </c:pt>
                <c:pt idx="117">
                  <c:v>46047</c:v>
                </c:pt>
                <c:pt idx="118">
                  <c:v>46048</c:v>
                </c:pt>
                <c:pt idx="119">
                  <c:v>46049</c:v>
                </c:pt>
                <c:pt idx="120">
                  <c:v>46050</c:v>
                </c:pt>
                <c:pt idx="121">
                  <c:v>46051</c:v>
                </c:pt>
                <c:pt idx="122">
                  <c:v>46052</c:v>
                </c:pt>
                <c:pt idx="123">
                  <c:v>46053</c:v>
                </c:pt>
                <c:pt idx="124">
                  <c:v>46054</c:v>
                </c:pt>
                <c:pt idx="125">
                  <c:v>46055</c:v>
                </c:pt>
                <c:pt idx="126">
                  <c:v>46056</c:v>
                </c:pt>
                <c:pt idx="127">
                  <c:v>46057</c:v>
                </c:pt>
                <c:pt idx="128">
                  <c:v>46058</c:v>
                </c:pt>
                <c:pt idx="129">
                  <c:v>46059</c:v>
                </c:pt>
                <c:pt idx="130">
                  <c:v>46060</c:v>
                </c:pt>
                <c:pt idx="131">
                  <c:v>46061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46068</c:v>
                </c:pt>
                <c:pt idx="139">
                  <c:v>46069</c:v>
                </c:pt>
                <c:pt idx="140">
                  <c:v>46070</c:v>
                </c:pt>
                <c:pt idx="141">
                  <c:v>46071</c:v>
                </c:pt>
                <c:pt idx="142">
                  <c:v>46072</c:v>
                </c:pt>
                <c:pt idx="143">
                  <c:v>46073</c:v>
                </c:pt>
                <c:pt idx="144">
                  <c:v>46074</c:v>
                </c:pt>
                <c:pt idx="145">
                  <c:v>46075</c:v>
                </c:pt>
                <c:pt idx="146">
                  <c:v>46076</c:v>
                </c:pt>
                <c:pt idx="147">
                  <c:v>46077</c:v>
                </c:pt>
                <c:pt idx="148">
                  <c:v>46078</c:v>
                </c:pt>
                <c:pt idx="149">
                  <c:v>46079</c:v>
                </c:pt>
                <c:pt idx="150">
                  <c:v>46080</c:v>
                </c:pt>
                <c:pt idx="151">
                  <c:v>46081</c:v>
                </c:pt>
                <c:pt idx="152">
                  <c:v>46082</c:v>
                </c:pt>
                <c:pt idx="153">
                  <c:v>46083</c:v>
                </c:pt>
                <c:pt idx="154">
                  <c:v>46084</c:v>
                </c:pt>
                <c:pt idx="155">
                  <c:v>46085</c:v>
                </c:pt>
                <c:pt idx="156">
                  <c:v>46086</c:v>
                </c:pt>
                <c:pt idx="157">
                  <c:v>46087</c:v>
                </c:pt>
                <c:pt idx="158">
                  <c:v>46088</c:v>
                </c:pt>
                <c:pt idx="159">
                  <c:v>46089</c:v>
                </c:pt>
                <c:pt idx="160">
                  <c:v>46090</c:v>
                </c:pt>
                <c:pt idx="161">
                  <c:v>46091</c:v>
                </c:pt>
                <c:pt idx="162">
                  <c:v>46092</c:v>
                </c:pt>
                <c:pt idx="163">
                  <c:v>46093</c:v>
                </c:pt>
                <c:pt idx="164">
                  <c:v>46094</c:v>
                </c:pt>
                <c:pt idx="165">
                  <c:v>46095</c:v>
                </c:pt>
                <c:pt idx="166">
                  <c:v>46096</c:v>
                </c:pt>
                <c:pt idx="167">
                  <c:v>46097</c:v>
                </c:pt>
                <c:pt idx="168">
                  <c:v>46098</c:v>
                </c:pt>
                <c:pt idx="169">
                  <c:v>46099</c:v>
                </c:pt>
                <c:pt idx="170">
                  <c:v>46100</c:v>
                </c:pt>
                <c:pt idx="171">
                  <c:v>46101</c:v>
                </c:pt>
                <c:pt idx="172">
                  <c:v>46102</c:v>
                </c:pt>
                <c:pt idx="173">
                  <c:v>46103</c:v>
                </c:pt>
                <c:pt idx="174">
                  <c:v>46104</c:v>
                </c:pt>
                <c:pt idx="175">
                  <c:v>46105</c:v>
                </c:pt>
                <c:pt idx="176">
                  <c:v>46106</c:v>
                </c:pt>
                <c:pt idx="177">
                  <c:v>46107</c:v>
                </c:pt>
                <c:pt idx="178">
                  <c:v>46108</c:v>
                </c:pt>
                <c:pt idx="179">
                  <c:v>46109</c:v>
                </c:pt>
                <c:pt idx="180">
                  <c:v>46110</c:v>
                </c:pt>
                <c:pt idx="181">
                  <c:v>46111</c:v>
                </c:pt>
                <c:pt idx="182">
                  <c:v>46112</c:v>
                </c:pt>
                <c:pt idx="183">
                  <c:v>46113</c:v>
                </c:pt>
                <c:pt idx="184">
                  <c:v>46114</c:v>
                </c:pt>
                <c:pt idx="185">
                  <c:v>46115</c:v>
                </c:pt>
                <c:pt idx="186">
                  <c:v>46116</c:v>
                </c:pt>
                <c:pt idx="187">
                  <c:v>46117</c:v>
                </c:pt>
                <c:pt idx="188">
                  <c:v>46118</c:v>
                </c:pt>
                <c:pt idx="189">
                  <c:v>46119</c:v>
                </c:pt>
                <c:pt idx="190">
                  <c:v>46120</c:v>
                </c:pt>
                <c:pt idx="191">
                  <c:v>46121</c:v>
                </c:pt>
                <c:pt idx="192">
                  <c:v>46122</c:v>
                </c:pt>
                <c:pt idx="193">
                  <c:v>46123</c:v>
                </c:pt>
                <c:pt idx="194">
                  <c:v>46124</c:v>
                </c:pt>
                <c:pt idx="195">
                  <c:v>46125</c:v>
                </c:pt>
                <c:pt idx="196">
                  <c:v>46126</c:v>
                </c:pt>
                <c:pt idx="197">
                  <c:v>46127</c:v>
                </c:pt>
                <c:pt idx="198">
                  <c:v>46128</c:v>
                </c:pt>
                <c:pt idx="199">
                  <c:v>46129</c:v>
                </c:pt>
                <c:pt idx="200">
                  <c:v>46130</c:v>
                </c:pt>
                <c:pt idx="201">
                  <c:v>46131</c:v>
                </c:pt>
                <c:pt idx="202">
                  <c:v>46132</c:v>
                </c:pt>
                <c:pt idx="203">
                  <c:v>46133</c:v>
                </c:pt>
                <c:pt idx="204">
                  <c:v>46134</c:v>
                </c:pt>
                <c:pt idx="205">
                  <c:v>46135</c:v>
                </c:pt>
                <c:pt idx="206">
                  <c:v>46136</c:v>
                </c:pt>
                <c:pt idx="207">
                  <c:v>46137</c:v>
                </c:pt>
                <c:pt idx="208">
                  <c:v>46138</c:v>
                </c:pt>
                <c:pt idx="209">
                  <c:v>46139</c:v>
                </c:pt>
                <c:pt idx="210">
                  <c:v>46140</c:v>
                </c:pt>
                <c:pt idx="211">
                  <c:v>46141</c:v>
                </c:pt>
                <c:pt idx="212">
                  <c:v>46142</c:v>
                </c:pt>
                <c:pt idx="213">
                  <c:v>46143</c:v>
                </c:pt>
                <c:pt idx="214">
                  <c:v>46144</c:v>
                </c:pt>
                <c:pt idx="215">
                  <c:v>46145</c:v>
                </c:pt>
                <c:pt idx="216">
                  <c:v>46146</c:v>
                </c:pt>
                <c:pt idx="217">
                  <c:v>46147</c:v>
                </c:pt>
                <c:pt idx="218">
                  <c:v>46148</c:v>
                </c:pt>
                <c:pt idx="219">
                  <c:v>46149</c:v>
                </c:pt>
                <c:pt idx="220">
                  <c:v>46150</c:v>
                </c:pt>
                <c:pt idx="221">
                  <c:v>46151</c:v>
                </c:pt>
                <c:pt idx="222">
                  <c:v>46152</c:v>
                </c:pt>
                <c:pt idx="223">
                  <c:v>46153</c:v>
                </c:pt>
                <c:pt idx="224">
                  <c:v>46154</c:v>
                </c:pt>
                <c:pt idx="225">
                  <c:v>46155</c:v>
                </c:pt>
                <c:pt idx="226">
                  <c:v>46156</c:v>
                </c:pt>
                <c:pt idx="227">
                  <c:v>46157</c:v>
                </c:pt>
                <c:pt idx="228">
                  <c:v>46158</c:v>
                </c:pt>
                <c:pt idx="229">
                  <c:v>46159</c:v>
                </c:pt>
                <c:pt idx="230">
                  <c:v>46160</c:v>
                </c:pt>
                <c:pt idx="231">
                  <c:v>46161</c:v>
                </c:pt>
                <c:pt idx="232">
                  <c:v>46162</c:v>
                </c:pt>
                <c:pt idx="233">
                  <c:v>46163</c:v>
                </c:pt>
                <c:pt idx="234">
                  <c:v>46164</c:v>
                </c:pt>
                <c:pt idx="235">
                  <c:v>46165</c:v>
                </c:pt>
                <c:pt idx="236">
                  <c:v>46166</c:v>
                </c:pt>
                <c:pt idx="237">
                  <c:v>46167</c:v>
                </c:pt>
                <c:pt idx="238">
                  <c:v>46168</c:v>
                </c:pt>
                <c:pt idx="239">
                  <c:v>46169</c:v>
                </c:pt>
                <c:pt idx="240">
                  <c:v>46170</c:v>
                </c:pt>
                <c:pt idx="241">
                  <c:v>46171</c:v>
                </c:pt>
                <c:pt idx="242">
                  <c:v>46172</c:v>
                </c:pt>
                <c:pt idx="243">
                  <c:v>46173</c:v>
                </c:pt>
                <c:pt idx="244">
                  <c:v>46174</c:v>
                </c:pt>
                <c:pt idx="245">
                  <c:v>46175</c:v>
                </c:pt>
                <c:pt idx="246">
                  <c:v>46176</c:v>
                </c:pt>
                <c:pt idx="247">
                  <c:v>46177</c:v>
                </c:pt>
                <c:pt idx="248">
                  <c:v>46178</c:v>
                </c:pt>
                <c:pt idx="249">
                  <c:v>46179</c:v>
                </c:pt>
                <c:pt idx="250">
                  <c:v>46180</c:v>
                </c:pt>
                <c:pt idx="251">
                  <c:v>46181</c:v>
                </c:pt>
                <c:pt idx="252">
                  <c:v>46182</c:v>
                </c:pt>
                <c:pt idx="253">
                  <c:v>46183</c:v>
                </c:pt>
                <c:pt idx="254">
                  <c:v>46184</c:v>
                </c:pt>
                <c:pt idx="255">
                  <c:v>46185</c:v>
                </c:pt>
                <c:pt idx="256">
                  <c:v>46186</c:v>
                </c:pt>
                <c:pt idx="257">
                  <c:v>46187</c:v>
                </c:pt>
                <c:pt idx="258">
                  <c:v>46188</c:v>
                </c:pt>
                <c:pt idx="259">
                  <c:v>46189</c:v>
                </c:pt>
                <c:pt idx="260">
                  <c:v>46190</c:v>
                </c:pt>
                <c:pt idx="261">
                  <c:v>46191</c:v>
                </c:pt>
                <c:pt idx="262">
                  <c:v>46192</c:v>
                </c:pt>
                <c:pt idx="263">
                  <c:v>46193</c:v>
                </c:pt>
                <c:pt idx="264">
                  <c:v>46194</c:v>
                </c:pt>
                <c:pt idx="265">
                  <c:v>46195</c:v>
                </c:pt>
                <c:pt idx="266">
                  <c:v>46196</c:v>
                </c:pt>
                <c:pt idx="267">
                  <c:v>46197</c:v>
                </c:pt>
                <c:pt idx="268">
                  <c:v>46198</c:v>
                </c:pt>
                <c:pt idx="269">
                  <c:v>46199</c:v>
                </c:pt>
                <c:pt idx="270">
                  <c:v>46200</c:v>
                </c:pt>
                <c:pt idx="271">
                  <c:v>46201</c:v>
                </c:pt>
                <c:pt idx="272">
                  <c:v>46202</c:v>
                </c:pt>
                <c:pt idx="273">
                  <c:v>46203</c:v>
                </c:pt>
                <c:pt idx="274">
                  <c:v>46204</c:v>
                </c:pt>
                <c:pt idx="275">
                  <c:v>46205</c:v>
                </c:pt>
                <c:pt idx="276">
                  <c:v>46206</c:v>
                </c:pt>
                <c:pt idx="277">
                  <c:v>46207</c:v>
                </c:pt>
                <c:pt idx="278">
                  <c:v>46208</c:v>
                </c:pt>
                <c:pt idx="279">
                  <c:v>46209</c:v>
                </c:pt>
                <c:pt idx="280">
                  <c:v>46210</c:v>
                </c:pt>
                <c:pt idx="281">
                  <c:v>46211</c:v>
                </c:pt>
                <c:pt idx="282">
                  <c:v>46212</c:v>
                </c:pt>
                <c:pt idx="283">
                  <c:v>46213</c:v>
                </c:pt>
                <c:pt idx="284">
                  <c:v>46214</c:v>
                </c:pt>
                <c:pt idx="285">
                  <c:v>46215</c:v>
                </c:pt>
                <c:pt idx="286">
                  <c:v>46216</c:v>
                </c:pt>
                <c:pt idx="287">
                  <c:v>46217</c:v>
                </c:pt>
                <c:pt idx="288">
                  <c:v>46218</c:v>
                </c:pt>
                <c:pt idx="289">
                  <c:v>46219</c:v>
                </c:pt>
                <c:pt idx="290">
                  <c:v>46220</c:v>
                </c:pt>
                <c:pt idx="291">
                  <c:v>46221</c:v>
                </c:pt>
                <c:pt idx="292">
                  <c:v>46222</c:v>
                </c:pt>
                <c:pt idx="293">
                  <c:v>46223</c:v>
                </c:pt>
                <c:pt idx="294">
                  <c:v>46224</c:v>
                </c:pt>
                <c:pt idx="295">
                  <c:v>46225</c:v>
                </c:pt>
                <c:pt idx="296">
                  <c:v>46226</c:v>
                </c:pt>
                <c:pt idx="297">
                  <c:v>46227</c:v>
                </c:pt>
                <c:pt idx="298">
                  <c:v>46228</c:v>
                </c:pt>
                <c:pt idx="299">
                  <c:v>46229</c:v>
                </c:pt>
                <c:pt idx="300">
                  <c:v>46230</c:v>
                </c:pt>
                <c:pt idx="301">
                  <c:v>46231</c:v>
                </c:pt>
                <c:pt idx="302">
                  <c:v>46232</c:v>
                </c:pt>
                <c:pt idx="303">
                  <c:v>46233</c:v>
                </c:pt>
                <c:pt idx="304">
                  <c:v>46234</c:v>
                </c:pt>
                <c:pt idx="305">
                  <c:v>46235</c:v>
                </c:pt>
                <c:pt idx="306">
                  <c:v>46236</c:v>
                </c:pt>
                <c:pt idx="307">
                  <c:v>46237</c:v>
                </c:pt>
                <c:pt idx="308">
                  <c:v>46238</c:v>
                </c:pt>
                <c:pt idx="309">
                  <c:v>46239</c:v>
                </c:pt>
                <c:pt idx="310">
                  <c:v>46240</c:v>
                </c:pt>
                <c:pt idx="311">
                  <c:v>46241</c:v>
                </c:pt>
                <c:pt idx="312">
                  <c:v>46242</c:v>
                </c:pt>
                <c:pt idx="313">
                  <c:v>46243</c:v>
                </c:pt>
                <c:pt idx="314">
                  <c:v>46244</c:v>
                </c:pt>
                <c:pt idx="315">
                  <c:v>46245</c:v>
                </c:pt>
                <c:pt idx="316">
                  <c:v>46246</c:v>
                </c:pt>
                <c:pt idx="317">
                  <c:v>46247</c:v>
                </c:pt>
                <c:pt idx="318">
                  <c:v>46248</c:v>
                </c:pt>
                <c:pt idx="319">
                  <c:v>46249</c:v>
                </c:pt>
                <c:pt idx="320">
                  <c:v>46250</c:v>
                </c:pt>
                <c:pt idx="321">
                  <c:v>46251</c:v>
                </c:pt>
                <c:pt idx="322">
                  <c:v>46252</c:v>
                </c:pt>
                <c:pt idx="323">
                  <c:v>46253</c:v>
                </c:pt>
                <c:pt idx="324">
                  <c:v>46254</c:v>
                </c:pt>
                <c:pt idx="325">
                  <c:v>46255</c:v>
                </c:pt>
                <c:pt idx="326">
                  <c:v>46256</c:v>
                </c:pt>
                <c:pt idx="327">
                  <c:v>46257</c:v>
                </c:pt>
                <c:pt idx="328">
                  <c:v>46258</c:v>
                </c:pt>
                <c:pt idx="329">
                  <c:v>46259</c:v>
                </c:pt>
                <c:pt idx="330">
                  <c:v>46260</c:v>
                </c:pt>
                <c:pt idx="331">
                  <c:v>46261</c:v>
                </c:pt>
                <c:pt idx="332">
                  <c:v>46262</c:v>
                </c:pt>
                <c:pt idx="333">
                  <c:v>46263</c:v>
                </c:pt>
                <c:pt idx="334">
                  <c:v>46264</c:v>
                </c:pt>
                <c:pt idx="335">
                  <c:v>46265</c:v>
                </c:pt>
                <c:pt idx="336">
                  <c:v>46266</c:v>
                </c:pt>
                <c:pt idx="337">
                  <c:v>46267</c:v>
                </c:pt>
                <c:pt idx="338">
                  <c:v>46268</c:v>
                </c:pt>
                <c:pt idx="339">
                  <c:v>46269</c:v>
                </c:pt>
                <c:pt idx="340">
                  <c:v>46270</c:v>
                </c:pt>
                <c:pt idx="341">
                  <c:v>46271</c:v>
                </c:pt>
                <c:pt idx="342">
                  <c:v>46272</c:v>
                </c:pt>
                <c:pt idx="343">
                  <c:v>46273</c:v>
                </c:pt>
                <c:pt idx="344">
                  <c:v>46274</c:v>
                </c:pt>
                <c:pt idx="345">
                  <c:v>46275</c:v>
                </c:pt>
                <c:pt idx="346">
                  <c:v>46276</c:v>
                </c:pt>
                <c:pt idx="347">
                  <c:v>46277</c:v>
                </c:pt>
                <c:pt idx="348">
                  <c:v>46278</c:v>
                </c:pt>
                <c:pt idx="349">
                  <c:v>46279</c:v>
                </c:pt>
                <c:pt idx="350">
                  <c:v>46280</c:v>
                </c:pt>
                <c:pt idx="351">
                  <c:v>46281</c:v>
                </c:pt>
                <c:pt idx="352">
                  <c:v>46282</c:v>
                </c:pt>
                <c:pt idx="353">
                  <c:v>46283</c:v>
                </c:pt>
                <c:pt idx="354">
                  <c:v>46284</c:v>
                </c:pt>
                <c:pt idx="355">
                  <c:v>46285</c:v>
                </c:pt>
                <c:pt idx="356">
                  <c:v>46286</c:v>
                </c:pt>
                <c:pt idx="357">
                  <c:v>46287</c:v>
                </c:pt>
                <c:pt idx="358">
                  <c:v>46288</c:v>
                </c:pt>
                <c:pt idx="359">
                  <c:v>46289</c:v>
                </c:pt>
                <c:pt idx="360">
                  <c:v>46290</c:v>
                </c:pt>
                <c:pt idx="361">
                  <c:v>46291</c:v>
                </c:pt>
                <c:pt idx="362">
                  <c:v>46292</c:v>
                </c:pt>
                <c:pt idx="363">
                  <c:v>46293</c:v>
                </c:pt>
                <c:pt idx="364">
                  <c:v>46294</c:v>
                </c:pt>
                <c:pt idx="365">
                  <c:v>46295</c:v>
                </c:pt>
              </c:numCache>
            </c:numRef>
          </c:cat>
          <c:val>
            <c:numRef>
              <c:f>'Histrorical Data'!$D$4:$D$369</c:f>
              <c:numCache>
                <c:formatCode>General</c:formatCode>
                <c:ptCount val="366"/>
                <c:pt idx="0">
                  <c:v>208.74</c:v>
                </c:pt>
                <c:pt idx="1">
                  <c:v>221.68</c:v>
                </c:pt>
                <c:pt idx="2">
                  <c:v>234.86</c:v>
                </c:pt>
                <c:pt idx="3">
                  <c:v>233</c:v>
                </c:pt>
                <c:pt idx="4">
                  <c:v>228</c:v>
                </c:pt>
                <c:pt idx="5">
                  <c:v>228.6</c:v>
                </c:pt>
                <c:pt idx="6">
                  <c:v>232.52</c:v>
                </c:pt>
                <c:pt idx="7">
                  <c:v>220.48</c:v>
                </c:pt>
                <c:pt idx="8">
                  <c:v>229.1</c:v>
                </c:pt>
                <c:pt idx="9">
                  <c:v>220.99</c:v>
                </c:pt>
                <c:pt idx="10">
                  <c:v>188.66</c:v>
                </c:pt>
                <c:pt idx="11">
                  <c:v>178.05</c:v>
                </c:pt>
                <c:pt idx="12">
                  <c:v>197.51</c:v>
                </c:pt>
                <c:pt idx="13">
                  <c:v>208.37</c:v>
                </c:pt>
                <c:pt idx="14">
                  <c:v>202.46</c:v>
                </c:pt>
                <c:pt idx="15">
                  <c:v>194.02</c:v>
                </c:pt>
                <c:pt idx="16">
                  <c:v>184.69</c:v>
                </c:pt>
                <c:pt idx="17">
                  <c:v>182.03</c:v>
                </c:pt>
                <c:pt idx="18">
                  <c:v>187.66</c:v>
                </c:pt>
                <c:pt idx="19">
                  <c:v>187.8</c:v>
                </c:pt>
                <c:pt idx="20">
                  <c:v>189.75</c:v>
                </c:pt>
                <c:pt idx="21">
                  <c:v>185.67</c:v>
                </c:pt>
                <c:pt idx="22">
                  <c:v>180.15</c:v>
                </c:pt>
                <c:pt idx="23">
                  <c:v>191.39</c:v>
                </c:pt>
                <c:pt idx="24">
                  <c:v>193.56</c:v>
                </c:pt>
                <c:pt idx="25">
                  <c:v>194.04</c:v>
                </c:pt>
                <c:pt idx="26">
                  <c:v>200.03</c:v>
                </c:pt>
                <c:pt idx="27">
                  <c:v>198.74</c:v>
                </c:pt>
                <c:pt idx="28">
                  <c:v>194.44</c:v>
                </c:pt>
                <c:pt idx="29">
                  <c:v>194.41</c:v>
                </c:pt>
                <c:pt idx="30">
                  <c:v>184.62</c:v>
                </c:pt>
                <c:pt idx="31">
                  <c:v>187.21</c:v>
                </c:pt>
                <c:pt idx="32">
                  <c:v>186.38</c:v>
                </c:pt>
                <c:pt idx="33">
                  <c:v>187.83</c:v>
                </c:pt>
                <c:pt idx="34">
                  <c:v>166.09</c:v>
                </c:pt>
                <c:pt idx="35">
                  <c:v>155.4</c:v>
                </c:pt>
                <c:pt idx="36">
                  <c:v>162.57</c:v>
                </c:pt>
                <c:pt idx="37">
                  <c:v>155.07</c:v>
                </c:pt>
                <c:pt idx="38">
                  <c:v>161.71</c:v>
                </c:pt>
                <c:pt idx="39">
                  <c:v>158.1</c:v>
                </c:pt>
                <c:pt idx="40">
                  <c:v>164.45</c:v>
                </c:pt>
                <c:pt idx="41">
                  <c:v>167.37</c:v>
                </c:pt>
                <c:pt idx="42">
                  <c:v>154.57</c:v>
                </c:pt>
                <c:pt idx="43">
                  <c:v>153.26</c:v>
                </c:pt>
                <c:pt idx="44">
                  <c:v>145.11000000000001</c:v>
                </c:pt>
                <c:pt idx="45">
                  <c:v>138.68</c:v>
                </c:pt>
                <c:pt idx="46">
                  <c:v>139.54</c:v>
                </c:pt>
                <c:pt idx="47">
                  <c:v>137.27000000000001</c:v>
                </c:pt>
                <c:pt idx="48">
                  <c:v>130.85</c:v>
                </c:pt>
                <c:pt idx="49">
                  <c:v>140.71</c:v>
                </c:pt>
                <c:pt idx="50">
                  <c:v>136.77000000000001</c:v>
                </c:pt>
                <c:pt idx="51">
                  <c:v>133.52000000000001</c:v>
                </c:pt>
                <c:pt idx="52">
                  <c:v>128.5</c:v>
                </c:pt>
                <c:pt idx="53">
                  <c:v>127.55</c:v>
                </c:pt>
                <c:pt idx="54">
                  <c:v>130.71</c:v>
                </c:pt>
                <c:pt idx="55">
                  <c:v>138.37</c:v>
                </c:pt>
                <c:pt idx="56">
                  <c:v>138.88999999999999</c:v>
                </c:pt>
                <c:pt idx="57">
                  <c:v>143.01</c:v>
                </c:pt>
                <c:pt idx="58">
                  <c:v>140.85</c:v>
                </c:pt>
                <c:pt idx="59">
                  <c:v>137.38999999999999</c:v>
                </c:pt>
                <c:pt idx="60">
                  <c:v>136.08000000000001</c:v>
                </c:pt>
                <c:pt idx="61">
                  <c:v>133.56</c:v>
                </c:pt>
                <c:pt idx="62">
                  <c:v>126.71</c:v>
                </c:pt>
                <c:pt idx="63">
                  <c:v>138.66999999999999</c:v>
                </c:pt>
                <c:pt idx="64">
                  <c:v>144.9</c:v>
                </c:pt>
                <c:pt idx="65">
                  <c:v>139.01</c:v>
                </c:pt>
                <c:pt idx="66">
                  <c:v>133.32</c:v>
                </c:pt>
                <c:pt idx="67">
                  <c:v>132.35</c:v>
                </c:pt>
                <c:pt idx="68">
                  <c:v>132.09</c:v>
                </c:pt>
                <c:pt idx="69">
                  <c:v>133.28</c:v>
                </c:pt>
                <c:pt idx="70">
                  <c:v>137.9</c:v>
                </c:pt>
                <c:pt idx="71">
                  <c:v>136.47</c:v>
                </c:pt>
                <c:pt idx="72">
                  <c:v>136.37</c:v>
                </c:pt>
                <c:pt idx="73">
                  <c:v>132.32</c:v>
                </c:pt>
                <c:pt idx="74">
                  <c:v>133.25</c:v>
                </c:pt>
                <c:pt idx="75">
                  <c:v>129.47999999999999</c:v>
                </c:pt>
                <c:pt idx="76">
                  <c:v>127.76</c:v>
                </c:pt>
                <c:pt idx="77">
                  <c:v>129.25</c:v>
                </c:pt>
                <c:pt idx="78">
                  <c:v>123.12</c:v>
                </c:pt>
                <c:pt idx="79">
                  <c:v>119.57</c:v>
                </c:pt>
                <c:pt idx="80">
                  <c:v>126.19</c:v>
                </c:pt>
                <c:pt idx="81">
                  <c:v>125.81</c:v>
                </c:pt>
                <c:pt idx="82">
                  <c:v>125.99</c:v>
                </c:pt>
                <c:pt idx="83">
                  <c:v>125.8</c:v>
                </c:pt>
                <c:pt idx="84">
                  <c:v>123.86</c:v>
                </c:pt>
                <c:pt idx="85">
                  <c:v>122.46</c:v>
                </c:pt>
                <c:pt idx="86">
                  <c:v>119.95</c:v>
                </c:pt>
                <c:pt idx="87">
                  <c:v>122.2</c:v>
                </c:pt>
                <c:pt idx="88">
                  <c:v>124.65</c:v>
                </c:pt>
                <c:pt idx="89">
                  <c:v>125.2</c:v>
                </c:pt>
                <c:pt idx="90">
                  <c:v>123.13</c:v>
                </c:pt>
                <c:pt idx="91">
                  <c:v>124.93</c:v>
                </c:pt>
                <c:pt idx="92">
                  <c:v>124.48</c:v>
                </c:pt>
                <c:pt idx="93">
                  <c:v>126.76</c:v>
                </c:pt>
                <c:pt idx="94">
                  <c:v>132.13</c:v>
                </c:pt>
                <c:pt idx="95">
                  <c:v>133.30000000000001</c:v>
                </c:pt>
                <c:pt idx="96">
                  <c:v>133.9</c:v>
                </c:pt>
                <c:pt idx="97">
                  <c:v>137.99</c:v>
                </c:pt>
                <c:pt idx="98">
                  <c:v>141.1</c:v>
                </c:pt>
                <c:pt idx="99">
                  <c:v>136.31</c:v>
                </c:pt>
                <c:pt idx="100">
                  <c:v>138.29</c:v>
                </c:pt>
                <c:pt idx="101">
                  <c:v>135.76</c:v>
                </c:pt>
                <c:pt idx="102">
                  <c:v>135.72999999999999</c:v>
                </c:pt>
                <c:pt idx="103">
                  <c:v>139.49</c:v>
                </c:pt>
                <c:pt idx="104">
                  <c:v>139.13999999999999</c:v>
                </c:pt>
                <c:pt idx="105">
                  <c:v>145.36000000000001</c:v>
                </c:pt>
                <c:pt idx="106">
                  <c:v>146.75</c:v>
                </c:pt>
                <c:pt idx="107">
                  <c:v>142.33000000000001</c:v>
                </c:pt>
                <c:pt idx="108">
                  <c:v>144.86000000000001</c:v>
                </c:pt>
                <c:pt idx="109">
                  <c:v>143.72999999999999</c:v>
                </c:pt>
                <c:pt idx="110">
                  <c:v>138</c:v>
                </c:pt>
                <c:pt idx="111">
                  <c:v>133.34</c:v>
                </c:pt>
                <c:pt idx="112">
                  <c:v>125.71</c:v>
                </c:pt>
                <c:pt idx="113">
                  <c:v>129.38</c:v>
                </c:pt>
                <c:pt idx="114">
                  <c:v>128.29</c:v>
                </c:pt>
                <c:pt idx="115">
                  <c:v>127.36</c:v>
                </c:pt>
                <c:pt idx="116">
                  <c:v>127.05</c:v>
                </c:pt>
                <c:pt idx="117">
                  <c:v>118.77</c:v>
                </c:pt>
                <c:pt idx="118">
                  <c:v>124.14</c:v>
                </c:pt>
                <c:pt idx="119">
                  <c:v>127.05</c:v>
                </c:pt>
                <c:pt idx="120">
                  <c:v>125.12</c:v>
                </c:pt>
                <c:pt idx="121">
                  <c:v>117.61</c:v>
                </c:pt>
                <c:pt idx="122">
                  <c:v>117.36</c:v>
                </c:pt>
                <c:pt idx="123">
                  <c:v>105.44</c:v>
                </c:pt>
                <c:pt idx="124">
                  <c:v>100.85</c:v>
                </c:pt>
                <c:pt idx="125">
                  <c:v>104.47</c:v>
                </c:pt>
                <c:pt idx="126">
                  <c:v>97.56</c:v>
                </c:pt>
                <c:pt idx="127">
                  <c:v>92.03</c:v>
                </c:pt>
                <c:pt idx="128">
                  <c:v>78.19</c:v>
                </c:pt>
                <c:pt idx="129">
                  <c:v>87.46</c:v>
                </c:pt>
                <c:pt idx="130">
                  <c:v>87.64</c:v>
                </c:pt>
                <c:pt idx="131">
                  <c:v>87.04</c:v>
                </c:pt>
                <c:pt idx="132">
                  <c:v>86.7</c:v>
                </c:pt>
                <c:pt idx="133">
                  <c:v>82.92</c:v>
                </c:pt>
                <c:pt idx="134">
                  <c:v>79.25</c:v>
                </c:pt>
                <c:pt idx="135">
                  <c:v>78.349999999999994</c:v>
                </c:pt>
                <c:pt idx="136">
                  <c:v>84.32</c:v>
                </c:pt>
                <c:pt idx="137">
                  <c:v>88.16</c:v>
                </c:pt>
                <c:pt idx="138">
                  <c:v>86.01</c:v>
                </c:pt>
                <c:pt idx="139">
                  <c:v>86.43</c:v>
                </c:pt>
                <c:pt idx="140">
                  <c:v>85.2</c:v>
                </c:pt>
                <c:pt idx="141">
                  <c:v>81.569999999999993</c:v>
                </c:pt>
                <c:pt idx="142">
                  <c:v>82.39</c:v>
                </c:pt>
                <c:pt idx="143">
                  <c:v>84.64</c:v>
                </c:pt>
                <c:pt idx="144">
                  <c:v>85.21</c:v>
                </c:pt>
                <c:pt idx="145">
                  <c:v>82.79</c:v>
                </c:pt>
                <c:pt idx="146">
                  <c:v>77.75</c:v>
                </c:pt>
                <c:pt idx="147">
                  <c:v>79.040000000000006</c:v>
                </c:pt>
                <c:pt idx="148">
                  <c:v>87.92</c:v>
                </c:pt>
                <c:pt idx="149">
                  <c:v>85.91</c:v>
                </c:pt>
                <c:pt idx="150">
                  <c:v>81.95</c:v>
                </c:pt>
                <c:pt idx="151">
                  <c:v>84.37</c:v>
                </c:pt>
                <c:pt idx="152">
                  <c:v>83.58</c:v>
                </c:pt>
                <c:pt idx="153">
                  <c:v>86.63</c:v>
                </c:pt>
                <c:pt idx="154">
                  <c:v>87.02</c:v>
                </c:pt>
                <c:pt idx="155">
                  <c:v>90.83</c:v>
                </c:pt>
                <c:pt idx="156">
                  <c:v>88.69</c:v>
                </c:pt>
                <c:pt idx="157">
                  <c:v>84.68</c:v>
                </c:pt>
                <c:pt idx="158">
                  <c:v>83.18</c:v>
                </c:pt>
                <c:pt idx="159">
                  <c:v>81.62</c:v>
                </c:pt>
                <c:pt idx="160">
                  <c:v>84.94</c:v>
                </c:pt>
                <c:pt idx="161">
                  <c:v>85.84</c:v>
                </c:pt>
                <c:pt idx="162">
                  <c:v>86.56</c:v>
                </c:pt>
                <c:pt idx="163">
                  <c:v>86.87</c:v>
                </c:pt>
                <c:pt idx="164">
                  <c:v>88.15</c:v>
                </c:pt>
                <c:pt idx="165">
                  <c:v>88.07</c:v>
                </c:pt>
                <c:pt idx="166">
                  <c:v>92.25</c:v>
                </c:pt>
                <c:pt idx="167">
                  <c:v>96.22</c:v>
                </c:pt>
                <c:pt idx="168">
                  <c:v>94.71</c:v>
                </c:pt>
                <c:pt idx="169">
                  <c:v>90.07</c:v>
                </c:pt>
                <c:pt idx="170">
                  <c:v>88.92</c:v>
                </c:pt>
                <c:pt idx="171">
                  <c:v>89.85</c:v>
                </c:pt>
                <c:pt idx="172">
                  <c:v>87.47</c:v>
                </c:pt>
                <c:pt idx="173">
                  <c:v>86.13</c:v>
                </c:pt>
                <c:pt idx="174">
                  <c:v>91.42</c:v>
                </c:pt>
                <c:pt idx="175">
                  <c:v>90.82</c:v>
                </c:pt>
                <c:pt idx="176">
                  <c:v>91.71</c:v>
                </c:pt>
                <c:pt idx="177">
                  <c:v>86.44</c:v>
                </c:pt>
                <c:pt idx="178">
                  <c:v>83.02</c:v>
                </c:pt>
                <c:pt idx="179">
                  <c:v>82.02</c:v>
                </c:pt>
                <c:pt idx="180">
                  <c:v>81.42</c:v>
                </c:pt>
                <c:pt idx="181">
                  <c:v>82.44</c:v>
                </c:pt>
                <c:pt idx="182">
                  <c:v>83.11</c:v>
                </c:pt>
                <c:pt idx="183">
                  <c:v>81.2</c:v>
                </c:pt>
                <c:pt idx="184">
                  <c:v>78.95</c:v>
                </c:pt>
                <c:pt idx="185">
                  <c:v>80.37</c:v>
                </c:pt>
                <c:pt idx="186">
                  <c:v>80.81</c:v>
                </c:pt>
                <c:pt idx="187">
                  <c:v>81.849999999999994</c:v>
                </c:pt>
                <c:pt idx="188">
                  <c:v>80.150000000000006</c:v>
                </c:pt>
                <c:pt idx="189">
                  <c:v>85.65</c:v>
                </c:pt>
                <c:pt idx="190">
                  <c:v>82.58</c:v>
                </c:pt>
                <c:pt idx="191">
                  <c:v>83.3</c:v>
                </c:pt>
                <c:pt idx="192">
                  <c:v>84.83</c:v>
                </c:pt>
                <c:pt idx="193">
                  <c:v>84.95</c:v>
                </c:pt>
                <c:pt idx="194">
                  <c:v>81.540000000000006</c:v>
                </c:pt>
                <c:pt idx="195">
                  <c:v>86.66</c:v>
                </c:pt>
                <c:pt idx="196">
                  <c:v>83.77</c:v>
                </c:pt>
                <c:pt idx="197">
                  <c:v>84.92</c:v>
                </c:pt>
                <c:pt idx="198">
                  <c:v>88.99</c:v>
                </c:pt>
                <c:pt idx="199">
                  <c:v>88.87</c:v>
                </c:pt>
                <c:pt idx="200">
                  <c:v>86.2</c:v>
                </c:pt>
                <c:pt idx="201">
                  <c:v>83.58</c:v>
                </c:pt>
                <c:pt idx="202">
                  <c:v>85.33</c:v>
                </c:pt>
                <c:pt idx="203">
                  <c:v>86.03</c:v>
                </c:pt>
                <c:pt idx="204">
                  <c:v>86.92</c:v>
                </c:pt>
                <c:pt idx="205">
                  <c:v>86.14</c:v>
                </c:pt>
                <c:pt idx="206">
                  <c:v>86.23</c:v>
                </c:pt>
                <c:pt idx="207">
                  <c:v>86.15</c:v>
                </c:pt>
                <c:pt idx="208">
                  <c:v>86.97</c:v>
                </c:pt>
                <c:pt idx="209">
                  <c:v>84.82</c:v>
                </c:pt>
                <c:pt idx="210">
                  <c:v>84.04</c:v>
                </c:pt>
                <c:pt idx="211">
                  <c:v>83.03</c:v>
                </c:pt>
                <c:pt idx="212">
                  <c:v>83.02</c:v>
                </c:pt>
                <c:pt idx="213">
                  <c:v>83.72</c:v>
                </c:pt>
                <c:pt idx="214">
                  <c:v>84.28</c:v>
                </c:pt>
                <c:pt idx="215">
                  <c:v>83.9</c:v>
                </c:pt>
                <c:pt idx="216">
                  <c:v>84.09</c:v>
                </c:pt>
                <c:pt idx="217">
                  <c:v>86.32</c:v>
                </c:pt>
                <c:pt idx="218">
                  <c:v>89.15</c:v>
                </c:pt>
                <c:pt idx="219">
                  <c:v>88.4</c:v>
                </c:pt>
                <c:pt idx="220">
                  <c:v>91.95</c:v>
                </c:pt>
                <c:pt idx="221">
                  <c:v>93.15</c:v>
                </c:pt>
                <c:pt idx="222">
                  <c:v>96.43</c:v>
                </c:pt>
                <c:pt idx="223">
                  <c:v>97.35</c:v>
                </c:pt>
                <c:pt idx="224">
                  <c:v>94.28</c:v>
                </c:pt>
                <c:pt idx="225">
                  <c:v>91.09</c:v>
                </c:pt>
                <c:pt idx="226">
                  <c:v>92.15</c:v>
                </c:pt>
                <c:pt idx="227">
                  <c:v>89.2</c:v>
                </c:pt>
                <c:pt idx="228">
                  <c:v>86.54</c:v>
                </c:pt>
                <c:pt idx="229">
                  <c:v>85.17</c:v>
                </c:pt>
                <c:pt idx="230">
                  <c:v>85.3</c:v>
                </c:pt>
                <c:pt idx="231">
                  <c:v>84.21</c:v>
                </c:pt>
                <c:pt idx="232">
                  <c:v>86.04</c:v>
                </c:pt>
                <c:pt idx="233">
                  <c:v>87.16</c:v>
                </c:pt>
                <c:pt idx="234">
                  <c:v>84.31</c:v>
                </c:pt>
                <c:pt idx="235">
                  <c:v>85.66</c:v>
                </c:pt>
                <c:pt idx="236">
                  <c:v>85.25</c:v>
                </c:pt>
                <c:pt idx="237">
                  <c:v>85.01</c:v>
                </c:pt>
                <c:pt idx="238">
                  <c:v>83.59</c:v>
                </c:pt>
                <c:pt idx="239">
                  <c:v>82.37</c:v>
                </c:pt>
                <c:pt idx="240">
                  <c:v>81.99</c:v>
                </c:pt>
                <c:pt idx="241">
                  <c:v>81.93</c:v>
                </c:pt>
                <c:pt idx="242">
                  <c:v>82.55</c:v>
                </c:pt>
                <c:pt idx="243">
                  <c:v>82.3</c:v>
                </c:pt>
                <c:pt idx="244">
                  <c:v>81.09</c:v>
                </c:pt>
                <c:pt idx="245">
                  <c:v>74.14</c:v>
                </c:pt>
                <c:pt idx="246">
                  <c:v>71.61</c:v>
                </c:pt>
                <c:pt idx="247">
                  <c:v>68.72</c:v>
                </c:pt>
                <c:pt idx="248">
                  <c:v>63.49</c:v>
                </c:pt>
                <c:pt idx="249">
                  <c:v>62.19</c:v>
                </c:pt>
                <c:pt idx="250">
                  <c:v>66.31</c:v>
                </c:pt>
                <c:pt idx="251">
                  <c:v>66.790000000000006</c:v>
                </c:pt>
                <c:pt idx="252">
                  <c:v>64.959999999999994</c:v>
                </c:pt>
                <c:pt idx="253">
                  <c:v>63.16</c:v>
                </c:pt>
                <c:pt idx="254">
                  <c:v>66.819999999999993</c:v>
                </c:pt>
                <c:pt idx="255">
                  <c:v>66.75</c:v>
                </c:pt>
                <c:pt idx="256">
                  <c:v>68.87</c:v>
                </c:pt>
                <c:pt idx="257">
                  <c:v>71.17</c:v>
                </c:pt>
                <c:pt idx="258">
                  <c:v>73.98</c:v>
                </c:pt>
                <c:pt idx="259">
                  <c:v>73.41</c:v>
                </c:pt>
                <c:pt idx="260">
                  <c:v>71.930000000000007</c:v>
                </c:pt>
                <c:pt idx="261">
                  <c:v>69.63</c:v>
                </c:pt>
                <c:pt idx="262">
                  <c:v>69.72</c:v>
                </c:pt>
                <c:pt idx="263">
                  <c:v>73.17</c:v>
                </c:pt>
                <c:pt idx="264">
                  <c:v>72.42</c:v>
                </c:pt>
                <c:pt idx="265">
                  <c:v>71.91</c:v>
                </c:pt>
                <c:pt idx="266">
                  <c:v>69.64</c:v>
                </c:pt>
                <c:pt idx="267">
                  <c:v>67.98</c:v>
                </c:pt>
                <c:pt idx="268">
                  <c:v>67.569999999999993</c:v>
                </c:pt>
                <c:pt idx="269">
                  <c:v>71.84</c:v>
                </c:pt>
                <c:pt idx="270">
                  <c:v>70.41</c:v>
                </c:pt>
                <c:pt idx="271">
                  <c:v>71.31</c:v>
                </c:pt>
                <c:pt idx="272">
                  <c:v>74.95</c:v>
                </c:pt>
                <c:pt idx="273">
                  <c:v>73.52</c:v>
                </c:pt>
                <c:pt idx="274">
                  <c:v>77.38</c:v>
                </c:pt>
                <c:pt idx="275">
                  <c:v>80.64</c:v>
                </c:pt>
                <c:pt idx="276">
                  <c:v>82.28</c:v>
                </c:pt>
                <c:pt idx="277">
                  <c:v>81.650000000000006</c:v>
                </c:pt>
                <c:pt idx="278">
                  <c:v>81.42</c:v>
                </c:pt>
                <c:pt idx="279">
                  <c:v>81.92</c:v>
                </c:pt>
                <c:pt idx="280">
                  <c:v>80.650000000000006</c:v>
                </c:pt>
                <c:pt idx="281">
                  <c:v>77.790000000000006</c:v>
                </c:pt>
                <c:pt idx="282">
                  <c:v>78.05</c:v>
                </c:pt>
                <c:pt idx="283">
                  <c:v>78.069999999999993</c:v>
                </c:pt>
                <c:pt idx="284">
                  <c:v>76.819999999999993</c:v>
                </c:pt>
                <c:pt idx="285">
                  <c:v>76.87</c:v>
                </c:pt>
                <c:pt idx="286">
                  <c:v>74.86</c:v>
                </c:pt>
                <c:pt idx="287">
                  <c:v>77.760000000000005</c:v>
                </c:pt>
                <c:pt idx="288">
                  <c:v>77.260000000000005</c:v>
                </c:pt>
                <c:pt idx="289">
                  <c:v>75.27</c:v>
                </c:pt>
                <c:pt idx="290">
                  <c:v>75.010000000000005</c:v>
                </c:pt>
                <c:pt idx="291">
                  <c:v>75.459999999999994</c:v>
                </c:pt>
                <c:pt idx="292">
                  <c:v>76.36</c:v>
                </c:pt>
                <c:pt idx="293">
                  <c:v>77.790000000000006</c:v>
                </c:pt>
                <c:pt idx="294">
                  <c:v>78.11</c:v>
                </c:pt>
                <c:pt idx="295">
                  <c:v>77.91</c:v>
                </c:pt>
                <c:pt idx="296">
                  <c:v>75.86</c:v>
                </c:pt>
                <c:pt idx="297">
                  <c:v>73.88</c:v>
                </c:pt>
                <c:pt idx="298">
                  <c:v>74.430000000000007</c:v>
                </c:pt>
                <c:pt idx="299">
                  <c:v>76.599999999999994</c:v>
                </c:pt>
                <c:pt idx="300">
                  <c:v>74.14</c:v>
                </c:pt>
                <c:pt idx="301">
                  <c:v>73.7</c:v>
                </c:pt>
                <c:pt idx="302">
                  <c:v>73.599999999999994</c:v>
                </c:pt>
                <c:pt idx="303">
                  <c:v>74.47</c:v>
                </c:pt>
                <c:pt idx="304">
                  <c:v>72.790000000000006</c:v>
                </c:pt>
                <c:pt idx="305">
                  <c:v>71.87</c:v>
                </c:pt>
                <c:pt idx="306">
                  <c:v>73.45</c:v>
                </c:pt>
                <c:pt idx="307">
                  <c:v>73.47</c:v>
                </c:pt>
                <c:pt idx="308">
                  <c:v>73.72</c:v>
                </c:pt>
                <c:pt idx="309">
                  <c:v>73.959999999999994</c:v>
                </c:pt>
                <c:pt idx="310">
                  <c:v>72.58</c:v>
                </c:pt>
                <c:pt idx="311">
                  <c:v>73.64</c:v>
                </c:pt>
                <c:pt idx="312">
                  <c:v>75.97</c:v>
                </c:pt>
                <c:pt idx="313">
                  <c:v>76.209999999999994</c:v>
                </c:pt>
                <c:pt idx="314">
                  <c:v>75.95</c:v>
                </c:pt>
                <c:pt idx="315">
                  <c:v>76.2</c:v>
                </c:pt>
                <c:pt idx="316">
                  <c:v>75.53</c:v>
                </c:pt>
                <c:pt idx="317">
                  <c:v>76.180000000000007</c:v>
                </c:pt>
                <c:pt idx="318">
                  <c:v>75.33</c:v>
                </c:pt>
                <c:pt idx="319">
                  <c:v>75.27</c:v>
                </c:pt>
                <c:pt idx="320">
                  <c:v>74.540000000000006</c:v>
                </c:pt>
                <c:pt idx="321">
                  <c:v>75.94</c:v>
                </c:pt>
                <c:pt idx="322">
                  <c:v>77.03</c:v>
                </c:pt>
                <c:pt idx="323">
                  <c:v>85.37</c:v>
                </c:pt>
                <c:pt idx="324">
                  <c:v>87.64</c:v>
                </c:pt>
                <c:pt idx="325">
                  <c:v>93.65</c:v>
                </c:pt>
                <c:pt idx="326">
                  <c:v>93.91</c:v>
                </c:pt>
                <c:pt idx="327">
                  <c:v>95.44</c:v>
                </c:pt>
                <c:pt idx="328">
                  <c:v>98.56</c:v>
                </c:pt>
                <c:pt idx="329">
                  <c:v>96.6</c:v>
                </c:pt>
                <c:pt idx="330">
                  <c:v>102.17</c:v>
                </c:pt>
                <c:pt idx="331">
                  <c:v>109.21</c:v>
                </c:pt>
                <c:pt idx="332">
                  <c:v>104.13</c:v>
                </c:pt>
                <c:pt idx="333">
                  <c:v>105.65</c:v>
                </c:pt>
                <c:pt idx="334">
                  <c:v>101.88</c:v>
                </c:pt>
                <c:pt idx="335">
                  <c:v>103</c:v>
                </c:pt>
                <c:pt idx="336">
                  <c:v>99.99</c:v>
                </c:pt>
                <c:pt idx="337">
                  <c:v>100.39</c:v>
                </c:pt>
                <c:pt idx="338">
                  <c:v>103.98</c:v>
                </c:pt>
                <c:pt idx="339">
                  <c:v>101.95</c:v>
                </c:pt>
                <c:pt idx="340">
                  <c:v>103.19</c:v>
                </c:pt>
                <c:pt idx="341">
                  <c:v>106.45</c:v>
                </c:pt>
                <c:pt idx="342">
                  <c:v>103.87</c:v>
                </c:pt>
                <c:pt idx="343">
                  <c:v>103.33</c:v>
                </c:pt>
                <c:pt idx="344">
                  <c:v>101.61</c:v>
                </c:pt>
                <c:pt idx="345">
                  <c:v>98.69</c:v>
                </c:pt>
                <c:pt idx="346">
                  <c:v>102.4</c:v>
                </c:pt>
                <c:pt idx="347">
                  <c:v>101.79</c:v>
                </c:pt>
                <c:pt idx="348">
                  <c:v>99.25</c:v>
                </c:pt>
                <c:pt idx="349">
                  <c:v>102.5</c:v>
                </c:pt>
                <c:pt idx="350">
                  <c:v>96.89</c:v>
                </c:pt>
                <c:pt idx="351">
                  <c:v>98.64</c:v>
                </c:pt>
                <c:pt idx="352">
                  <c:v>101.6</c:v>
                </c:pt>
                <c:pt idx="353">
                  <c:v>112.6</c:v>
                </c:pt>
                <c:pt idx="354">
                  <c:v>111.01</c:v>
                </c:pt>
                <c:pt idx="355">
                  <c:v>111.13</c:v>
                </c:pt>
                <c:pt idx="356">
                  <c:v>118.75</c:v>
                </c:pt>
                <c:pt idx="357">
                  <c:v>118.51</c:v>
                </c:pt>
                <c:pt idx="358">
                  <c:v>114.98</c:v>
                </c:pt>
                <c:pt idx="359">
                  <c:v>117.01</c:v>
                </c:pt>
                <c:pt idx="360">
                  <c:v>122.01</c:v>
                </c:pt>
                <c:pt idx="361">
                  <c:v>121.43</c:v>
                </c:pt>
                <c:pt idx="362">
                  <c:v>122.06</c:v>
                </c:pt>
                <c:pt idx="363">
                  <c:v>118.84</c:v>
                </c:pt>
                <c:pt idx="364">
                  <c:v>119.06</c:v>
                </c:pt>
                <c:pt idx="365">
                  <c:v>117.99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460-4CED-BBDD-15B0A093C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4798272"/>
        <c:axId val="764796864"/>
      </c:lineChart>
      <c:catAx>
        <c:axId val="764798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796864"/>
        <c:crosses val="autoZero"/>
        <c:auto val="1"/>
        <c:lblAlgn val="ctr"/>
        <c:lblOffset val="100"/>
        <c:noMultiLvlLbl val="0"/>
      </c:catAx>
      <c:valAx>
        <c:axId val="76479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79827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12-Month Cryptocurrency Return Comparison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Summary!$A$9</c:f>
              <c:strCache>
                <c:ptCount val="1"/>
                <c:pt idx="0">
                  <c:v>Bitcoin (BTC)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Summary!$B$8:$D$8</c15:sqref>
                  </c15:fullRef>
                </c:ext>
              </c:extLst>
              <c:f>Summary!$D$8</c:f>
              <c:strCache>
                <c:ptCount val="1"/>
                <c:pt idx="0">
                  <c:v>12-Month Return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Summary!$B$9:$D$9</c15:sqref>
                  </c15:fullRef>
                </c:ext>
              </c:extLst>
              <c:f>Summary!$D$9</c:f>
              <c:numCache>
                <c:formatCode>#,##0.00</c:formatCode>
                <c:ptCount val="1"/>
                <c:pt idx="0" formatCode="0.00%">
                  <c:v>-0.26743186334301511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D-4182-B27F-E299336D84C3}"/>
            </c:ext>
          </c:extLst>
        </c:ser>
        <c:ser>
          <c:idx val="1"/>
          <c:order val="1"/>
          <c:tx>
            <c:strRef>
              <c:f>Summary!$A$10</c:f>
              <c:strCache>
                <c:ptCount val="1"/>
                <c:pt idx="0">
                  <c:v>Monero (XMR)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Summary!$B$8:$D$8</c15:sqref>
                  </c15:fullRef>
                </c:ext>
              </c:extLst>
              <c:f>Summary!$D$8</c:f>
              <c:strCache>
                <c:ptCount val="1"/>
                <c:pt idx="0">
                  <c:v>12-Month Return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Summary!$B$10:$D$10</c15:sqref>
                  </c15:fullRef>
                </c:ext>
              </c:extLst>
              <c:f>Summary!$D$10</c:f>
              <c:numCache>
                <c:formatCode>General</c:formatCode>
                <c:ptCount val="1"/>
                <c:pt idx="0" formatCode="0.00%">
                  <c:v>0.84353096536078309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BD-4182-B27F-E299336D84C3}"/>
            </c:ext>
          </c:extLst>
        </c:ser>
        <c:ser>
          <c:idx val="2"/>
          <c:order val="2"/>
          <c:tx>
            <c:strRef>
              <c:f>Summary!$A$11</c:f>
              <c:strCache>
                <c:ptCount val="1"/>
                <c:pt idx="0">
                  <c:v>Solana (SOL)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Summary!$B$8:$D$8</c15:sqref>
                  </c15:fullRef>
                </c:ext>
              </c:extLst>
              <c:f>Summary!$D$8</c:f>
              <c:strCache>
                <c:ptCount val="1"/>
                <c:pt idx="0">
                  <c:v>12-Month Return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Summary!$B$11:$D$11</c15:sqref>
                  </c15:fullRef>
                </c:ext>
              </c:extLst>
              <c:f>Summary!$D$11</c:f>
              <c:numCache>
                <c:formatCode>General</c:formatCode>
                <c:ptCount val="1"/>
                <c:pt idx="0" formatCode="0.00%">
                  <c:v>-0.43475136533486641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BD-4182-B27F-E299336D8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785600"/>
        <c:axId val="764788768"/>
      </c:barChart>
      <c:catAx>
        <c:axId val="76478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788768"/>
        <c:crosses val="autoZero"/>
        <c:auto val="1"/>
        <c:lblAlgn val="ctr"/>
        <c:lblOffset val="100"/>
        <c:noMultiLvlLbl val="0"/>
      </c:catAx>
      <c:valAx>
        <c:axId val="76478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78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3"/>
          <c:order val="0"/>
          <c:tx>
            <c:strRef>
              <c:f>'Risk analysis'!$K$7</c:f>
              <c:strCache>
                <c:ptCount val="1"/>
              </c:strCache>
            </c:strRef>
          </c:tx>
          <c:invertIfNegative val="0"/>
          <c:val>
            <c:numRef>
              <c:f>'Risk analysis'!$L$7:$M$7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8-1EBD-4FFF-B8AA-42BD50B27A0C}"/>
            </c:ext>
          </c:extLst>
        </c:ser>
        <c:ser>
          <c:idx val="4"/>
          <c:order val="1"/>
          <c:tx>
            <c:strRef>
              <c:f>'Risk analysis'!$K$6</c:f>
              <c:strCache>
                <c:ptCount val="1"/>
              </c:strCache>
            </c:strRef>
          </c:tx>
          <c:invertIfNegative val="0"/>
          <c:val>
            <c:numRef>
              <c:f>'Risk analysis'!$L$6:$N$6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9-1EBD-4FFF-B8AA-42BD50B27A0C}"/>
            </c:ext>
          </c:extLst>
        </c:ser>
        <c:ser>
          <c:idx val="0"/>
          <c:order val="2"/>
          <c:tx>
            <c:strRef>
              <c:f>'Risk analysis'!$A$5</c:f>
              <c:strCache>
                <c:ptCount val="1"/>
                <c:pt idx="0">
                  <c:v>Average Daily Return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'Risk analysis'!$B$4:$D$4</c:f>
              <c:strCache>
                <c:ptCount val="3"/>
                <c:pt idx="0">
                  <c:v>BTC</c:v>
                </c:pt>
                <c:pt idx="1">
                  <c:v>XMR</c:v>
                </c:pt>
                <c:pt idx="2">
                  <c:v>SOL</c:v>
                </c:pt>
              </c:strCache>
              <c:extLst xmlns:c15="http://schemas.microsoft.com/office/drawing/2012/chart"/>
            </c:strRef>
          </c:cat>
          <c:val>
            <c:numRef>
              <c:f>'Risk analysis'!$B$5:$D$5</c:f>
              <c:numCache>
                <c:formatCode>General</c:formatCode>
                <c:ptCount val="3"/>
                <c:pt idx="0" formatCode="#,##0.00">
                  <c:v>79913.922349726796</c:v>
                </c:pt>
                <c:pt idx="1">
                  <c:v>389.50139344262305</c:v>
                </c:pt>
                <c:pt idx="2">
                  <c:v>108.44019125683059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1EBD-4FFF-B8AA-42BD50B27A0C}"/>
            </c:ext>
          </c:extLst>
        </c:ser>
        <c:ser>
          <c:idx val="1"/>
          <c:order val="3"/>
          <c:tx>
            <c:strRef>
              <c:f>'Risk analysis'!$A$6</c:f>
              <c:strCache>
                <c:ptCount val="1"/>
                <c:pt idx="0">
                  <c:v>Daily Volatility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'Risk analysis'!$B$4:$D$4</c:f>
              <c:strCache>
                <c:ptCount val="3"/>
                <c:pt idx="0">
                  <c:v>BTC</c:v>
                </c:pt>
                <c:pt idx="1">
                  <c:v>XMR</c:v>
                </c:pt>
                <c:pt idx="2">
                  <c:v>SOL</c:v>
                </c:pt>
              </c:strCache>
              <c:extLst xmlns:c15="http://schemas.microsoft.com/office/drawing/2012/chart"/>
            </c:strRef>
          </c:cat>
          <c:val>
            <c:numRef>
              <c:f>'Risk analysis'!$B$6:$D$6</c:f>
              <c:numCache>
                <c:formatCode>0%</c:formatCode>
                <c:ptCount val="3"/>
                <c:pt idx="0">
                  <c:v>15335.965836816062</c:v>
                </c:pt>
                <c:pt idx="1">
                  <c:v>75.348074944081375</c:v>
                </c:pt>
                <c:pt idx="2">
                  <c:v>38.480208450956759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7-1EBD-4FFF-B8AA-42BD50B27A0C}"/>
            </c:ext>
          </c:extLst>
        </c:ser>
        <c:ser>
          <c:idx val="2"/>
          <c:order val="4"/>
          <c:tx>
            <c:strRef>
              <c:f>'Risk analysis'!$A$7</c:f>
              <c:strCache>
                <c:ptCount val="1"/>
                <c:pt idx="0">
                  <c:v>Annualized Volatility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'Risk analysis'!$B$4:$D$4</c:f>
              <c:strCache>
                <c:ptCount val="3"/>
                <c:pt idx="0">
                  <c:v>BTC</c:v>
                </c:pt>
                <c:pt idx="1">
                  <c:v>XMR</c:v>
                </c:pt>
                <c:pt idx="2">
                  <c:v>SOL</c:v>
                </c:pt>
              </c:strCache>
            </c:strRef>
          </c:cat>
          <c:val>
            <c:numRef>
              <c:f>'Risk analysis'!$B$7:$D$7</c:f>
              <c:numCache>
                <c:formatCode>General</c:formatCode>
                <c:ptCount val="3"/>
                <c:pt idx="0">
                  <c:v>292993.21591807564</c:v>
                </c:pt>
                <c:pt idx="1">
                  <c:v>1439.5229505601151</c:v>
                </c:pt>
                <c:pt idx="2">
                  <c:v>735.16335020634403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BD-4FFF-B8AA-42BD50B27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4832064"/>
        <c:axId val="764833824"/>
        <c:axId val="0"/>
        <c:extLst/>
      </c:bar3DChart>
      <c:catAx>
        <c:axId val="76483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833824"/>
        <c:crosses val="autoZero"/>
        <c:auto val="1"/>
        <c:lblAlgn val="ctr"/>
        <c:lblOffset val="100"/>
        <c:noMultiLvlLbl val="0"/>
      </c:catAx>
      <c:valAx>
        <c:axId val="76483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8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Cryptocurrency Portfolio Allocation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'Portfolio Analysis'!$B$3</c:f>
              <c:strCache>
                <c:ptCount val="1"/>
                <c:pt idx="0">
                  <c:v>Allocation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AE-4F59-AD8C-752ACC5353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AE-4F59-AD8C-752ACC5353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AE-4F59-AD8C-752ACC5353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AE-4F59-AD8C-752ACC53533E}"/>
              </c:ext>
            </c:extLst>
          </c:dPt>
          <c:cat>
            <c:strRef>
              <c:f>'Portfolio Analysis'!$A$4:$A$7</c:f>
              <c:strCache>
                <c:ptCount val="4"/>
                <c:pt idx="0">
                  <c:v>BTC</c:v>
                </c:pt>
                <c:pt idx="1">
                  <c:v>XMR</c:v>
                </c:pt>
                <c:pt idx="2">
                  <c:v>SOL</c:v>
                </c:pt>
                <c:pt idx="3">
                  <c:v>TOTAL</c:v>
                </c:pt>
              </c:strCache>
            </c:strRef>
          </c:cat>
          <c:val>
            <c:numRef>
              <c:f>'Portfolio Analysis'!$B$4:$B$7</c:f>
              <c:numCache>
                <c:formatCode>0%</c:formatCode>
                <c:ptCount val="4"/>
                <c:pt idx="0">
                  <c:v>0.5</c:v>
                </c:pt>
                <c:pt idx="1">
                  <c:v>0.25</c:v>
                </c:pt>
                <c:pt idx="2">
                  <c:v>0.25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AE-4F59-AD8C-752ACC535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1118507</xdr:colOff>
      <xdr:row>4</xdr:row>
      <xdr:rowOff>97066</xdr:rowOff>
    </xdr:from>
    <xdr:to>
      <xdr:col>7</xdr:col>
      <xdr:colOff>407307</xdr:colOff>
      <xdr:row>19</xdr:row>
      <xdr:rowOff>80737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F997E4-3C20-49E8-A667-942E9ADC5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1828800</xdr:colOff>
      <xdr:row>25</xdr:row>
      <xdr:rowOff>4535</xdr:rowOff>
    </xdr:from>
    <xdr:to>
      <xdr:col>7</xdr:col>
      <xdr:colOff>355600</xdr:colOff>
      <xdr:row>39</xdr:row>
      <xdr:rowOff>166914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6AD32C-621D-4AE6-A17B-7FC8C8C1C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1690915</xdr:colOff>
      <xdr:row>44</xdr:row>
      <xdr:rowOff>48985</xdr:rowOff>
    </xdr:from>
    <xdr:to>
      <xdr:col>6</xdr:col>
      <xdr:colOff>546101</xdr:colOff>
      <xdr:row>59</xdr:row>
      <xdr:rowOff>32656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AF89B5-1AA7-446D-9341-33576B600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1923143</xdr:colOff>
      <xdr:row>64</xdr:row>
      <xdr:rowOff>99785</xdr:rowOff>
    </xdr:from>
    <xdr:to>
      <xdr:col>7</xdr:col>
      <xdr:colOff>172357</xdr:colOff>
      <xdr:row>79</xdr:row>
      <xdr:rowOff>121557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EF6835-E124-4580-8B18-8A4135869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4DA2-BDB8-4143-A9AD-60C163549167}">
  <dimension ref="A1:Z1002"/>
  <sheetViews>
    <sheetView workbookViewId="0">
      <selection activeCell="B4" sqref="B4"/>
    </sheetView>
  </sheetViews>
  <sheetFormatPr defaultRowHeight="14.5" x14ac:dyDescent="0.35"/>
  <cols>
    <col min="1" max="1" width="79.36328125" customWidth="1"/>
    <col min="2" max="2" width="37.90625" customWidth="1"/>
    <col min="3" max="3" width="15.08984375" customWidth="1"/>
    <col min="4" max="4" width="13.36328125" customWidth="1"/>
    <col min="5" max="5" width="13.54296875" customWidth="1"/>
  </cols>
  <sheetData>
    <row r="1" spans="1:26" ht="18.5" thickBot="1" x14ac:dyDescent="0.45">
      <c r="A1" s="4" t="s">
        <v>0</v>
      </c>
      <c r="B1" s="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thickBot="1" x14ac:dyDescent="0.4">
      <c r="A2" s="37" t="s">
        <v>1</v>
      </c>
      <c r="B2" s="30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 thickBot="1" x14ac:dyDescent="0.4">
      <c r="A3" s="37" t="s">
        <v>3</v>
      </c>
      <c r="B3" s="30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thickBot="1" x14ac:dyDescent="0.4">
      <c r="A4" s="37" t="s">
        <v>5</v>
      </c>
      <c r="B4" s="24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1.5" thickBot="1" x14ac:dyDescent="0.4">
      <c r="A5" s="46" t="s">
        <v>48</v>
      </c>
      <c r="B5" s="45" t="s">
        <v>49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4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 thickBot="1" x14ac:dyDescent="0.6">
      <c r="A7" s="38" t="s">
        <v>14</v>
      </c>
      <c r="B7" s="38"/>
      <c r="C7" s="38"/>
      <c r="D7" s="3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thickBot="1" x14ac:dyDescent="0.4">
      <c r="A8" s="29" t="s">
        <v>7</v>
      </c>
      <c r="B8" s="29" t="s">
        <v>8</v>
      </c>
      <c r="C8" s="29" t="s">
        <v>9</v>
      </c>
      <c r="D8" s="29" t="s">
        <v>10</v>
      </c>
      <c r="E8" s="37" t="s">
        <v>50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" thickBot="1" x14ac:dyDescent="0.4">
      <c r="A9" s="37" t="s">
        <v>11</v>
      </c>
      <c r="B9" s="25">
        <v>114056.08</v>
      </c>
      <c r="C9" s="25">
        <v>83553.850000000006</v>
      </c>
      <c r="D9" s="26">
        <f>(C9-B9)/B9</f>
        <v>-0.26743186334301511</v>
      </c>
      <c r="E9" s="47">
        <v>0.5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" thickBot="1" x14ac:dyDescent="0.4">
      <c r="A10" s="37" t="s">
        <v>12</v>
      </c>
      <c r="B10" s="27">
        <v>295.33</v>
      </c>
      <c r="C10" s="27">
        <v>544.45000000000005</v>
      </c>
      <c r="D10" s="28">
        <f>(C10-B10)/B10</f>
        <v>0.84353096536078309</v>
      </c>
      <c r="E10" s="47">
        <v>0.25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" thickBot="1" x14ac:dyDescent="0.4">
      <c r="A11" s="37" t="s">
        <v>13</v>
      </c>
      <c r="B11" s="15">
        <v>208.74</v>
      </c>
      <c r="C11" s="27">
        <v>117.99</v>
      </c>
      <c r="D11" s="28">
        <f>(C11-B11)/B11</f>
        <v>-0.43475136533486641</v>
      </c>
      <c r="E11" s="47">
        <v>0.25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" thickBot="1" x14ac:dyDescent="0.4">
      <c r="A12" s="24"/>
      <c r="B12" s="24"/>
      <c r="C12" s="24"/>
      <c r="D12" s="2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" thickBot="1" x14ac:dyDescent="0.4">
      <c r="A16" s="29"/>
      <c r="B16" s="2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" thickBot="1" x14ac:dyDescent="0.4">
      <c r="A17" s="37"/>
      <c r="B17" s="2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" thickBot="1" x14ac:dyDescent="0.4">
      <c r="A18" s="37"/>
      <c r="B18" s="2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" thickBot="1" x14ac:dyDescent="0.4">
      <c r="A19" s="37"/>
      <c r="B19" s="2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thickBo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thickBo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2">
    <mergeCell ref="A1:B1"/>
    <mergeCell ref="A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29BC-0AA6-4F16-95CB-1C3E81698CC6}">
  <dimension ref="A1:M449"/>
  <sheetViews>
    <sheetView topLeftCell="A350" zoomScale="85" zoomScaleNormal="85" workbookViewId="0">
      <selection activeCell="A3" sqref="A3:D369"/>
    </sheetView>
  </sheetViews>
  <sheetFormatPr defaultRowHeight="14.5" x14ac:dyDescent="0.35"/>
  <cols>
    <col min="1" max="1" width="18.36328125" bestFit="1" customWidth="1"/>
    <col min="2" max="2" width="18.26953125" customWidth="1"/>
    <col min="3" max="3" width="18.6328125" customWidth="1"/>
    <col min="4" max="4" width="23.6328125" customWidth="1"/>
    <col min="5" max="5" width="12.81640625" bestFit="1" customWidth="1"/>
    <col min="7" max="7" width="16" customWidth="1"/>
    <col min="8" max="8" width="19.90625" bestFit="1" customWidth="1"/>
    <col min="9" max="9" width="19.90625" customWidth="1"/>
    <col min="10" max="10" width="17.54296875" bestFit="1" customWidth="1"/>
  </cols>
  <sheetData>
    <row r="1" spans="1:13" ht="21" x14ac:dyDescent="0.5">
      <c r="A1" s="40" t="s">
        <v>19</v>
      </c>
      <c r="B1" s="40"/>
      <c r="C1" s="40"/>
      <c r="D1" s="40"/>
      <c r="E1" s="40"/>
      <c r="F1" s="40"/>
      <c r="G1" s="40"/>
    </row>
    <row r="3" spans="1:13" ht="55.5" x14ac:dyDescent="0.35">
      <c r="A3" s="17" t="s">
        <v>15</v>
      </c>
      <c r="B3" s="13" t="s">
        <v>16</v>
      </c>
      <c r="C3" s="13" t="s">
        <v>17</v>
      </c>
      <c r="D3" s="13" t="s">
        <v>18</v>
      </c>
      <c r="E3" s="13" t="s">
        <v>20</v>
      </c>
      <c r="F3" s="13" t="s">
        <v>21</v>
      </c>
      <c r="G3" s="13" t="s">
        <v>22</v>
      </c>
      <c r="H3" s="16" t="s">
        <v>38</v>
      </c>
      <c r="I3" s="16" t="s">
        <v>39</v>
      </c>
      <c r="J3" s="13" t="s">
        <v>40</v>
      </c>
      <c r="K3" s="13" t="s">
        <v>42</v>
      </c>
      <c r="L3" s="13" t="s">
        <v>41</v>
      </c>
      <c r="M3" s="13" t="s">
        <v>43</v>
      </c>
    </row>
    <row r="4" spans="1:13" ht="15.5" x14ac:dyDescent="0.35">
      <c r="A4" s="54">
        <v>45930</v>
      </c>
      <c r="B4" s="21">
        <v>114056.08</v>
      </c>
      <c r="C4" s="15">
        <v>295.33</v>
      </c>
      <c r="D4" s="15">
        <v>208.74</v>
      </c>
      <c r="E4" s="22"/>
      <c r="F4" s="23"/>
      <c r="G4" s="23"/>
      <c r="H4" s="20">
        <f>MAX($B$4:B4)</f>
        <v>114056.08</v>
      </c>
      <c r="I4" s="18">
        <f>(H4/B4)-1</f>
        <v>0</v>
      </c>
      <c r="J4" s="19">
        <f>MAX($C$4:C4)</f>
        <v>295.33</v>
      </c>
      <c r="K4" s="18">
        <f>(J4/C4)-1</f>
        <v>0</v>
      </c>
      <c r="L4">
        <f>MAX($D$4:D4)</f>
        <v>208.74</v>
      </c>
      <c r="M4" s="18">
        <f>(L4/D4)-1</f>
        <v>0</v>
      </c>
    </row>
    <row r="5" spans="1:13" ht="15.5" x14ac:dyDescent="0.35">
      <c r="A5" s="54">
        <v>45931</v>
      </c>
      <c r="B5" s="21">
        <v>118648.93</v>
      </c>
      <c r="C5" s="15">
        <v>314.32</v>
      </c>
      <c r="D5" s="15">
        <v>221.68</v>
      </c>
      <c r="E5" s="22">
        <f>(B5/B4)-1</f>
        <v>4.0268348693028866E-2</v>
      </c>
      <c r="F5" s="22">
        <f>(C5/C4)-1</f>
        <v>6.430095147800774E-2</v>
      </c>
      <c r="G5" s="22">
        <f>(D5/D4)-1</f>
        <v>6.1990993580530729E-2</v>
      </c>
      <c r="H5" s="20">
        <f>MAX($B$4:B5)</f>
        <v>118648.93</v>
      </c>
      <c r="I5" s="18">
        <f t="shared" ref="I5:I68" si="0">(H5/B5)-1</f>
        <v>0</v>
      </c>
      <c r="J5" s="19">
        <f>MAX($C$4:C5)</f>
        <v>314.32</v>
      </c>
      <c r="K5" s="18">
        <f>(J5/C5)-1</f>
        <v>0</v>
      </c>
      <c r="L5">
        <f>MAX($D$4:D5)</f>
        <v>221.68</v>
      </c>
      <c r="M5" s="18">
        <f>(L5/D5)-1</f>
        <v>0</v>
      </c>
    </row>
    <row r="6" spans="1:13" ht="15.5" x14ac:dyDescent="0.35">
      <c r="A6" s="54">
        <v>45932</v>
      </c>
      <c r="B6" s="21">
        <v>120681.26</v>
      </c>
      <c r="C6" s="15">
        <v>333.68</v>
      </c>
      <c r="D6" s="15">
        <v>234.86</v>
      </c>
      <c r="E6" s="22">
        <f t="shared" ref="E6:E69" si="1">(B6/B5)-1</f>
        <v>1.7128936603136635E-2</v>
      </c>
      <c r="F6" s="22">
        <f t="shared" ref="F6:F69" si="2">(C6/C5)-1</f>
        <v>6.1593280733011069E-2</v>
      </c>
      <c r="G6" s="22">
        <f t="shared" ref="G6:G69" si="3">(D6/D5)-1</f>
        <v>5.9455070371706942E-2</v>
      </c>
      <c r="H6" s="20">
        <f>MAX($B$4:B6)</f>
        <v>120681.26</v>
      </c>
      <c r="I6" s="18">
        <f t="shared" si="0"/>
        <v>0</v>
      </c>
      <c r="J6" s="19">
        <f>MAX($C$4:C6)</f>
        <v>333.68</v>
      </c>
      <c r="K6" s="18">
        <f>(J6/C6)-1</f>
        <v>0</v>
      </c>
      <c r="L6">
        <f>MAX($D$4:D6)</f>
        <v>234.86</v>
      </c>
      <c r="M6" s="18">
        <f>(L6/D6)-1</f>
        <v>0</v>
      </c>
    </row>
    <row r="7" spans="1:13" ht="15.5" x14ac:dyDescent="0.35">
      <c r="A7" s="54">
        <v>45933</v>
      </c>
      <c r="B7" s="21">
        <v>122266.53</v>
      </c>
      <c r="C7" s="15">
        <v>324.62</v>
      </c>
      <c r="D7" s="15">
        <v>233</v>
      </c>
      <c r="E7" s="22">
        <f t="shared" si="1"/>
        <v>1.3136008026432666E-2</v>
      </c>
      <c r="F7" s="22">
        <f t="shared" si="2"/>
        <v>-2.7151762167345939E-2</v>
      </c>
      <c r="G7" s="22">
        <f t="shared" si="3"/>
        <v>-7.9196116835562602E-3</v>
      </c>
      <c r="H7" s="20">
        <f>MAX($B$4:B7)</f>
        <v>122266.53</v>
      </c>
      <c r="I7" s="18">
        <f t="shared" si="0"/>
        <v>0</v>
      </c>
      <c r="J7" s="19">
        <f>MAX($C$4:C7)</f>
        <v>333.68</v>
      </c>
      <c r="K7" s="18">
        <f>(J7/C7)-1</f>
        <v>2.7909555788306228E-2</v>
      </c>
      <c r="L7">
        <f>MAX($D$4:D7)</f>
        <v>234.86</v>
      </c>
      <c r="M7" s="18">
        <f>(L7/D7)-1</f>
        <v>7.9828326180257925E-3</v>
      </c>
    </row>
    <row r="8" spans="1:13" ht="15.5" x14ac:dyDescent="0.35">
      <c r="A8" s="54">
        <v>45934</v>
      </c>
      <c r="B8" s="21">
        <v>122425.43</v>
      </c>
      <c r="C8" s="15">
        <v>329.93</v>
      </c>
      <c r="D8" s="15">
        <v>228</v>
      </c>
      <c r="E8" s="22">
        <f t="shared" si="1"/>
        <v>1.2996197732935144E-3</v>
      </c>
      <c r="F8" s="22">
        <f t="shared" si="2"/>
        <v>1.6357587332881618E-2</v>
      </c>
      <c r="G8" s="22">
        <f t="shared" si="3"/>
        <v>-2.1459227467811148E-2</v>
      </c>
      <c r="H8" s="20">
        <f>MAX($B$4:B8)</f>
        <v>122425.43</v>
      </c>
      <c r="I8" s="18">
        <f t="shared" si="0"/>
        <v>0</v>
      </c>
      <c r="J8" s="19">
        <f>MAX($C$4:C8)</f>
        <v>333.68</v>
      </c>
      <c r="K8" s="18">
        <f>(J8/C8)-1</f>
        <v>1.1366047343375874E-2</v>
      </c>
      <c r="L8">
        <f>MAX($D$4:D8)</f>
        <v>234.86</v>
      </c>
      <c r="M8" s="18">
        <f>(L8/D8)-1</f>
        <v>3.0087719298245608E-2</v>
      </c>
    </row>
    <row r="9" spans="1:13" ht="15.5" x14ac:dyDescent="0.35">
      <c r="A9" s="54">
        <v>45935</v>
      </c>
      <c r="B9" s="21">
        <v>123513.47</v>
      </c>
      <c r="C9" s="15">
        <v>321.39999999999998</v>
      </c>
      <c r="D9" s="15">
        <v>228.6</v>
      </c>
      <c r="E9" s="22">
        <f t="shared" si="1"/>
        <v>8.8873692336632892E-3</v>
      </c>
      <c r="F9" s="22">
        <f t="shared" si="2"/>
        <v>-2.5853969023732382E-2</v>
      </c>
      <c r="G9" s="22">
        <f t="shared" si="3"/>
        <v>2.6315789473683182E-3</v>
      </c>
      <c r="H9" s="20">
        <f>MAX($B$4:B9)</f>
        <v>123513.47</v>
      </c>
      <c r="I9" s="18">
        <f t="shared" si="0"/>
        <v>0</v>
      </c>
      <c r="J9" s="19">
        <f>MAX($C$4:C9)</f>
        <v>333.68</v>
      </c>
      <c r="K9" s="18">
        <f>(J9/C9)-1</f>
        <v>3.8207840696951045E-2</v>
      </c>
      <c r="L9">
        <f>MAX($D$4:D9)</f>
        <v>234.86</v>
      </c>
      <c r="M9" s="18">
        <f>(L9/D9)-1</f>
        <v>2.7384076990376371E-2</v>
      </c>
    </row>
    <row r="10" spans="1:13" ht="15.5" x14ac:dyDescent="0.35">
      <c r="A10" s="54">
        <v>45936</v>
      </c>
      <c r="B10" s="21">
        <v>124752.53</v>
      </c>
      <c r="C10" s="15">
        <v>310.52999999999997</v>
      </c>
      <c r="D10" s="15">
        <v>232.52</v>
      </c>
      <c r="E10" s="22">
        <f t="shared" si="1"/>
        <v>1.0031780339423646E-2</v>
      </c>
      <c r="F10" s="22">
        <f t="shared" si="2"/>
        <v>-3.3820784069695131E-2</v>
      </c>
      <c r="G10" s="22">
        <f t="shared" si="3"/>
        <v>1.7147856517935267E-2</v>
      </c>
      <c r="H10" s="20">
        <f>MAX($B$4:B10)</f>
        <v>124752.53</v>
      </c>
      <c r="I10" s="18">
        <f t="shared" si="0"/>
        <v>0</v>
      </c>
      <c r="J10" s="19">
        <f>MAX($C$4:C10)</f>
        <v>333.68</v>
      </c>
      <c r="K10" s="18">
        <f>(J10/C10)-1</f>
        <v>7.454996296654115E-2</v>
      </c>
      <c r="L10">
        <f>MAX($D$4:D10)</f>
        <v>234.86</v>
      </c>
      <c r="M10" s="18">
        <f>(L10/D10)-1</f>
        <v>1.0063650438671967E-2</v>
      </c>
    </row>
    <row r="11" spans="1:13" ht="15.5" x14ac:dyDescent="0.35">
      <c r="A11" s="54">
        <v>45937</v>
      </c>
      <c r="B11" s="21">
        <v>121451.38</v>
      </c>
      <c r="C11" s="15">
        <v>318.23</v>
      </c>
      <c r="D11" s="15">
        <v>220.48</v>
      </c>
      <c r="E11" s="22">
        <f t="shared" si="1"/>
        <v>-2.646158759265238E-2</v>
      </c>
      <c r="F11" s="22">
        <f t="shared" si="2"/>
        <v>2.4796315975912364E-2</v>
      </c>
      <c r="G11" s="22">
        <f t="shared" si="3"/>
        <v>-5.1780492000688239E-2</v>
      </c>
      <c r="H11" s="20">
        <f>MAX($B$4:B11)</f>
        <v>124752.53</v>
      </c>
      <c r="I11" s="18">
        <f t="shared" si="0"/>
        <v>2.7180835656210656E-2</v>
      </c>
      <c r="J11" s="19">
        <f>MAX($C$4:C11)</f>
        <v>333.68</v>
      </c>
      <c r="K11" s="18">
        <f>(J11/C11)-1</f>
        <v>4.8549791031643696E-2</v>
      </c>
      <c r="L11">
        <f>MAX($D$4:D11)</f>
        <v>234.86</v>
      </c>
      <c r="M11" s="18">
        <f>(L11/D11)-1</f>
        <v>6.5221335268505154E-2</v>
      </c>
    </row>
    <row r="12" spans="1:13" ht="15.5" x14ac:dyDescent="0.35">
      <c r="A12" s="54">
        <v>45938</v>
      </c>
      <c r="B12" s="21">
        <v>123354.87</v>
      </c>
      <c r="C12" s="15">
        <v>333.16</v>
      </c>
      <c r="D12" s="15">
        <v>229.1</v>
      </c>
      <c r="E12" s="22">
        <f t="shared" si="1"/>
        <v>1.5672856084467668E-2</v>
      </c>
      <c r="F12" s="22">
        <f t="shared" si="2"/>
        <v>4.6915752757439533E-2</v>
      </c>
      <c r="G12" s="22">
        <f t="shared" si="3"/>
        <v>3.9096516690856342E-2</v>
      </c>
      <c r="H12" s="20">
        <f>MAX($B$4:B12)</f>
        <v>124752.53</v>
      </c>
      <c r="I12" s="18">
        <f t="shared" si="0"/>
        <v>1.1330399845583816E-2</v>
      </c>
      <c r="J12" s="19">
        <f>MAX($C$4:C12)</f>
        <v>333.68</v>
      </c>
      <c r="K12" s="18">
        <f>(J12/C12)-1</f>
        <v>1.5608116220433566E-3</v>
      </c>
      <c r="L12">
        <f>MAX($D$4:D12)</f>
        <v>234.86</v>
      </c>
      <c r="M12" s="18">
        <f>(L12/D12)-1</f>
        <v>2.5141859450021897E-2</v>
      </c>
    </row>
    <row r="13" spans="1:13" ht="15.5" x14ac:dyDescent="0.35">
      <c r="A13" s="54">
        <v>45939</v>
      </c>
      <c r="B13" s="21">
        <v>121705.58</v>
      </c>
      <c r="C13" s="15">
        <v>342.27</v>
      </c>
      <c r="D13" s="15">
        <v>220.99</v>
      </c>
      <c r="E13" s="22">
        <f t="shared" si="1"/>
        <v>-1.3370286880444948E-2</v>
      </c>
      <c r="F13" s="22">
        <f t="shared" si="2"/>
        <v>2.7344218993876623E-2</v>
      </c>
      <c r="G13" s="22">
        <f t="shared" si="3"/>
        <v>-3.5399388913138319E-2</v>
      </c>
      <c r="H13" s="20">
        <f>MAX($B$4:B13)</f>
        <v>124752.53</v>
      </c>
      <c r="I13" s="18">
        <f t="shared" si="0"/>
        <v>2.5035417439364771E-2</v>
      </c>
      <c r="J13" s="19">
        <f>MAX($C$4:C13)</f>
        <v>342.27</v>
      </c>
      <c r="K13" s="18">
        <f>(J13/C13)-1</f>
        <v>0</v>
      </c>
      <c r="L13">
        <f>MAX($D$4:D13)</f>
        <v>234.86</v>
      </c>
      <c r="M13" s="18">
        <f>(L13/D13)-1</f>
        <v>6.2763020951174253E-2</v>
      </c>
    </row>
    <row r="14" spans="1:13" ht="15.5" x14ac:dyDescent="0.35">
      <c r="A14" s="54">
        <v>45940</v>
      </c>
      <c r="B14" s="21">
        <v>113214.37</v>
      </c>
      <c r="C14" s="15">
        <v>294.82</v>
      </c>
      <c r="D14" s="15">
        <v>188.66</v>
      </c>
      <c r="E14" s="22">
        <f t="shared" si="1"/>
        <v>-6.9768452687214544E-2</v>
      </c>
      <c r="F14" s="22">
        <f t="shared" si="2"/>
        <v>-0.13863324276156253</v>
      </c>
      <c r="G14" s="22">
        <f t="shared" si="3"/>
        <v>-0.14629621249830316</v>
      </c>
      <c r="H14" s="20">
        <f>MAX($B$4:B14)</f>
        <v>124752.53</v>
      </c>
      <c r="I14" s="18">
        <f t="shared" si="0"/>
        <v>0.10191427113006957</v>
      </c>
      <c r="J14" s="19">
        <f>MAX($C$4:C14)</f>
        <v>342.27</v>
      </c>
      <c r="K14" s="18">
        <f>(J14/C14)-1</f>
        <v>0.16094566175971781</v>
      </c>
      <c r="L14">
        <f>MAX($D$4:D14)</f>
        <v>234.86</v>
      </c>
      <c r="M14" s="18">
        <f>(L14/D14)-1</f>
        <v>0.24488497826778333</v>
      </c>
    </row>
    <row r="15" spans="1:13" ht="15.5" x14ac:dyDescent="0.35">
      <c r="A15" s="54">
        <v>45941</v>
      </c>
      <c r="B15" s="21">
        <v>110807.88</v>
      </c>
      <c r="C15" s="15">
        <v>298.27</v>
      </c>
      <c r="D15" s="15">
        <v>178.05</v>
      </c>
      <c r="E15" s="22">
        <f t="shared" si="1"/>
        <v>-2.12560472667912E-2</v>
      </c>
      <c r="F15" s="22">
        <f t="shared" si="2"/>
        <v>1.1702055491486396E-2</v>
      </c>
      <c r="G15" s="22">
        <f t="shared" si="3"/>
        <v>-5.6238736351107765E-2</v>
      </c>
      <c r="H15" s="20">
        <f>MAX($B$4:B15)</f>
        <v>124752.53</v>
      </c>
      <c r="I15" s="18">
        <f t="shared" si="0"/>
        <v>0.12584529186913418</v>
      </c>
      <c r="J15" s="19">
        <f>MAX($C$4:C15)</f>
        <v>342.27</v>
      </c>
      <c r="K15" s="18">
        <f>(J15/C15)-1</f>
        <v>0.14751735005196642</v>
      </c>
      <c r="L15">
        <f>MAX($D$4:D15)</f>
        <v>234.86</v>
      </c>
      <c r="M15" s="18">
        <f>(L15/D15)-1</f>
        <v>0.31906767761864652</v>
      </c>
    </row>
    <row r="16" spans="1:13" ht="15.5" x14ac:dyDescent="0.35">
      <c r="A16" s="54">
        <v>45942</v>
      </c>
      <c r="B16" s="21">
        <v>115169.76</v>
      </c>
      <c r="C16" s="15">
        <v>304.74</v>
      </c>
      <c r="D16" s="15">
        <v>197.51</v>
      </c>
      <c r="E16" s="22">
        <f t="shared" si="1"/>
        <v>3.9364348456084386E-2</v>
      </c>
      <c r="F16" s="22">
        <f t="shared" si="2"/>
        <v>2.1691755791732437E-2</v>
      </c>
      <c r="G16" s="22">
        <f t="shared" si="3"/>
        <v>0.10929514181409705</v>
      </c>
      <c r="H16" s="20">
        <f>MAX($B$4:B16)</f>
        <v>124752.53</v>
      </c>
      <c r="I16" s="18">
        <f t="shared" si="0"/>
        <v>8.3205608833429867E-2</v>
      </c>
      <c r="J16" s="19">
        <f>MAX($C$4:C16)</f>
        <v>342.27</v>
      </c>
      <c r="K16" s="18">
        <f>(J16/C16)-1</f>
        <v>0.12315416420555225</v>
      </c>
      <c r="L16">
        <f>MAX($D$4:D16)</f>
        <v>234.86</v>
      </c>
      <c r="M16" s="18">
        <f>(L16/D16)-1</f>
        <v>0.18910434914687868</v>
      </c>
    </row>
    <row r="17" spans="1:13" ht="15.5" x14ac:dyDescent="0.35">
      <c r="A17" s="54">
        <v>45943</v>
      </c>
      <c r="B17" s="21">
        <v>115271.08</v>
      </c>
      <c r="C17" s="15">
        <v>311.16000000000003</v>
      </c>
      <c r="D17" s="15">
        <v>208.37</v>
      </c>
      <c r="E17" s="22">
        <f t="shared" si="1"/>
        <v>8.7974482190467107E-4</v>
      </c>
      <c r="F17" s="22">
        <f t="shared" si="2"/>
        <v>2.1067139200630081E-2</v>
      </c>
      <c r="G17" s="22">
        <f t="shared" si="3"/>
        <v>5.4984557743911866E-2</v>
      </c>
      <c r="H17" s="20">
        <f>MAX($B$4:B17)</f>
        <v>124752.53</v>
      </c>
      <c r="I17" s="18">
        <f t="shared" si="0"/>
        <v>8.2253501919128391E-2</v>
      </c>
      <c r="J17" s="19">
        <f>MAX($C$4:C17)</f>
        <v>342.27</v>
      </c>
      <c r="K17" s="18">
        <f>(J17/C17)-1</f>
        <v>9.9980717315850232E-2</v>
      </c>
      <c r="L17">
        <f>MAX($D$4:D17)</f>
        <v>234.86</v>
      </c>
      <c r="M17" s="18">
        <f>(L17/D17)-1</f>
        <v>0.12712962518596727</v>
      </c>
    </row>
    <row r="18" spans="1:13" ht="15.5" x14ac:dyDescent="0.35">
      <c r="A18" s="54">
        <v>45944</v>
      </c>
      <c r="B18" s="21">
        <v>113118.67</v>
      </c>
      <c r="C18" s="15">
        <v>312.43</v>
      </c>
      <c r="D18" s="15">
        <v>202.46</v>
      </c>
      <c r="E18" s="22">
        <f t="shared" si="1"/>
        <v>-1.8672593333904808E-2</v>
      </c>
      <c r="F18" s="22">
        <f t="shared" si="2"/>
        <v>4.0815014783390779E-3</v>
      </c>
      <c r="G18" s="22">
        <f t="shared" si="3"/>
        <v>-2.8363008110572574E-2</v>
      </c>
      <c r="H18" s="20">
        <f>MAX($B$4:B18)</f>
        <v>124752.53</v>
      </c>
      <c r="I18" s="18">
        <f t="shared" si="0"/>
        <v>0.10284650623986291</v>
      </c>
      <c r="J18" s="19">
        <f>MAX($C$4:C18)</f>
        <v>342.27</v>
      </c>
      <c r="K18" s="18">
        <f>(J18/C18)-1</f>
        <v>9.5509394104279277E-2</v>
      </c>
      <c r="L18">
        <f>MAX($D$4:D18)</f>
        <v>234.86</v>
      </c>
      <c r="M18" s="18">
        <f>(L18/D18)-1</f>
        <v>0.16003161118245579</v>
      </c>
    </row>
    <row r="19" spans="1:13" ht="15.5" x14ac:dyDescent="0.35">
      <c r="A19" s="54">
        <v>45945</v>
      </c>
      <c r="B19" s="21">
        <v>110783.17</v>
      </c>
      <c r="C19" s="15">
        <v>317.23</v>
      </c>
      <c r="D19" s="15">
        <v>194.02</v>
      </c>
      <c r="E19" s="22">
        <f t="shared" si="1"/>
        <v>-2.0646459156565378E-2</v>
      </c>
      <c r="F19" s="22">
        <f t="shared" si="2"/>
        <v>1.5363441410876089E-2</v>
      </c>
      <c r="G19" s="22">
        <f t="shared" si="3"/>
        <v>-4.1687246863577943E-2</v>
      </c>
      <c r="H19" s="20">
        <f>MAX($B$4:B19)</f>
        <v>124752.53</v>
      </c>
      <c r="I19" s="18">
        <f t="shared" si="0"/>
        <v>0.12609640977054548</v>
      </c>
      <c r="J19" s="19">
        <f>MAX($C$4:C19)</f>
        <v>342.27</v>
      </c>
      <c r="K19" s="18">
        <f>(J19/C19)-1</f>
        <v>7.8933266084544318E-2</v>
      </c>
      <c r="L19">
        <f>MAX($D$4:D19)</f>
        <v>234.86</v>
      </c>
      <c r="M19" s="18">
        <f>(L19/D19)-1</f>
        <v>0.21049376352953297</v>
      </c>
    </row>
    <row r="20" spans="1:13" ht="15.5" x14ac:dyDescent="0.35">
      <c r="A20" s="54">
        <v>45946</v>
      </c>
      <c r="B20" s="21">
        <v>108186.04</v>
      </c>
      <c r="C20" s="15">
        <v>301.27</v>
      </c>
      <c r="D20" s="15">
        <v>184.69</v>
      </c>
      <c r="E20" s="22">
        <f t="shared" si="1"/>
        <v>-2.3443362380766053E-2</v>
      </c>
      <c r="F20" s="22">
        <f t="shared" si="2"/>
        <v>-5.031050026794448E-2</v>
      </c>
      <c r="G20" s="22">
        <f t="shared" si="3"/>
        <v>-4.8087825997319977E-2</v>
      </c>
      <c r="H20" s="20">
        <f>MAX($B$4:B20)</f>
        <v>124752.53</v>
      </c>
      <c r="I20" s="18">
        <f t="shared" si="0"/>
        <v>0.15312964593213696</v>
      </c>
      <c r="J20" s="19">
        <f>MAX($C$4:C20)</f>
        <v>342.27</v>
      </c>
      <c r="K20" s="18">
        <f>(J20/C20)-1</f>
        <v>0.13609055000497894</v>
      </c>
      <c r="L20">
        <f>MAX($D$4:D20)</f>
        <v>234.86</v>
      </c>
      <c r="M20" s="18">
        <f>(L20/D20)-1</f>
        <v>0.27164437706427003</v>
      </c>
    </row>
    <row r="21" spans="1:13" ht="15.5" x14ac:dyDescent="0.35">
      <c r="A21" s="54">
        <v>45947</v>
      </c>
      <c r="B21" s="21">
        <v>106467.79</v>
      </c>
      <c r="C21" s="15">
        <v>291.23</v>
      </c>
      <c r="D21" s="15">
        <v>182.03</v>
      </c>
      <c r="E21" s="22">
        <f t="shared" si="1"/>
        <v>-1.5882363380709696E-2</v>
      </c>
      <c r="F21" s="22">
        <f t="shared" si="2"/>
        <v>-3.3325588342682511E-2</v>
      </c>
      <c r="G21" s="22">
        <f t="shared" si="3"/>
        <v>-1.4402512317938099E-2</v>
      </c>
      <c r="H21" s="20">
        <f>MAX($B$4:B21)</f>
        <v>124752.53</v>
      </c>
      <c r="I21" s="18">
        <f t="shared" si="0"/>
        <v>0.17173964069320879</v>
      </c>
      <c r="J21" s="19">
        <f>MAX($C$4:C21)</f>
        <v>342.27</v>
      </c>
      <c r="K21" s="18">
        <f>(J21/C21)-1</f>
        <v>0.17525666998592171</v>
      </c>
      <c r="L21">
        <f>MAX($D$4:D21)</f>
        <v>234.86</v>
      </c>
      <c r="M21" s="18">
        <f>(L21/D21)-1</f>
        <v>0.29022688567818489</v>
      </c>
    </row>
    <row r="22" spans="1:13" ht="15.5" x14ac:dyDescent="0.35">
      <c r="A22" s="54">
        <v>45948</v>
      </c>
      <c r="B22" s="21">
        <v>107198.27</v>
      </c>
      <c r="C22" s="15">
        <v>307.74</v>
      </c>
      <c r="D22" s="15">
        <v>187.66</v>
      </c>
      <c r="E22" s="22">
        <f t="shared" si="1"/>
        <v>6.8610421987720382E-3</v>
      </c>
      <c r="F22" s="22">
        <f t="shared" si="2"/>
        <v>5.6690588194897362E-2</v>
      </c>
      <c r="G22" s="22">
        <f t="shared" si="3"/>
        <v>3.0928967752568148E-2</v>
      </c>
      <c r="H22" s="20">
        <f>MAX($B$4:B22)</f>
        <v>124752.53</v>
      </c>
      <c r="I22" s="18">
        <f t="shared" si="0"/>
        <v>0.16375506806219908</v>
      </c>
      <c r="J22" s="19">
        <f>MAX($C$4:C22)</f>
        <v>342.27</v>
      </c>
      <c r="K22" s="18">
        <f>(J22/C22)-1</f>
        <v>0.1122051082082276</v>
      </c>
      <c r="L22">
        <f>MAX($D$4:D22)</f>
        <v>234.86</v>
      </c>
      <c r="M22" s="18">
        <f>(L22/D22)-1</f>
        <v>0.25151870403921994</v>
      </c>
    </row>
    <row r="23" spans="1:13" ht="15.5" x14ac:dyDescent="0.35">
      <c r="A23" s="54">
        <v>45949</v>
      </c>
      <c r="B23" s="21">
        <v>108666.71</v>
      </c>
      <c r="C23" s="15">
        <v>315.56</v>
      </c>
      <c r="D23" s="15">
        <v>187.8</v>
      </c>
      <c r="E23" s="22">
        <f t="shared" si="1"/>
        <v>1.3698355393235273E-2</v>
      </c>
      <c r="F23" s="22">
        <f t="shared" si="2"/>
        <v>2.5411061285500747E-2</v>
      </c>
      <c r="G23" s="22">
        <f t="shared" si="3"/>
        <v>7.4603005435380787E-4</v>
      </c>
      <c r="H23" s="20">
        <f>MAX($B$4:B23)</f>
        <v>124752.53</v>
      </c>
      <c r="I23" s="18">
        <f t="shared" si="0"/>
        <v>0.14802895937495486</v>
      </c>
      <c r="J23" s="19">
        <f>MAX($C$4:C23)</f>
        <v>342.27</v>
      </c>
      <c r="K23" s="18">
        <f>(J23/C23)-1</f>
        <v>8.4643174039802149E-2</v>
      </c>
      <c r="L23">
        <f>MAX($D$4:D23)</f>
        <v>234.86</v>
      </c>
      <c r="M23" s="18">
        <f>(L23/D23)-1</f>
        <v>0.25058572949946756</v>
      </c>
    </row>
    <row r="24" spans="1:13" ht="15.5" x14ac:dyDescent="0.35">
      <c r="A24" s="54">
        <v>45950</v>
      </c>
      <c r="B24" s="21">
        <v>110588.93</v>
      </c>
      <c r="C24" s="15">
        <v>310.05</v>
      </c>
      <c r="D24" s="15">
        <v>189.75</v>
      </c>
      <c r="E24" s="22">
        <f t="shared" si="1"/>
        <v>1.7689134050345112E-2</v>
      </c>
      <c r="F24" s="22">
        <f t="shared" si="2"/>
        <v>-1.7461021675751032E-2</v>
      </c>
      <c r="G24" s="22">
        <f t="shared" si="3"/>
        <v>1.0383386581469534E-2</v>
      </c>
      <c r="H24" s="20">
        <f>MAX($B$4:B24)</f>
        <v>124752.53</v>
      </c>
      <c r="I24" s="18">
        <f t="shared" si="0"/>
        <v>0.12807430183111457</v>
      </c>
      <c r="J24" s="19">
        <f>MAX($C$4:C24)</f>
        <v>342.27</v>
      </c>
      <c r="K24" s="18">
        <f>(J24/C24)-1</f>
        <v>0.10391872278664716</v>
      </c>
      <c r="L24">
        <f>MAX($D$4:D24)</f>
        <v>234.86</v>
      </c>
      <c r="M24" s="18">
        <f>(L24/D24)-1</f>
        <v>0.23773386034255606</v>
      </c>
    </row>
    <row r="25" spans="1:13" ht="15.5" x14ac:dyDescent="0.35">
      <c r="A25" s="54">
        <v>45951</v>
      </c>
      <c r="B25" s="21">
        <v>108476.89</v>
      </c>
      <c r="C25" s="15">
        <v>305.05</v>
      </c>
      <c r="D25" s="15">
        <v>185.67</v>
      </c>
      <c r="E25" s="22">
        <f t="shared" si="1"/>
        <v>-1.9098114069825867E-2</v>
      </c>
      <c r="F25" s="22">
        <f t="shared" si="2"/>
        <v>-1.6126431220770843E-2</v>
      </c>
      <c r="G25" s="22">
        <f t="shared" si="3"/>
        <v>-2.1501976284585056E-2</v>
      </c>
      <c r="H25" s="20">
        <f>MAX($B$4:B25)</f>
        <v>124752.53</v>
      </c>
      <c r="I25" s="18">
        <f t="shared" si="0"/>
        <v>0.15003785598941866</v>
      </c>
      <c r="J25" s="19">
        <f>MAX($C$4:C25)</f>
        <v>342.27</v>
      </c>
      <c r="K25" s="18">
        <f>(J25/C25)-1</f>
        <v>0.1220127847893786</v>
      </c>
      <c r="L25">
        <f>MAX($D$4:D25)</f>
        <v>234.86</v>
      </c>
      <c r="M25" s="18">
        <f>(L25/D25)-1</f>
        <v>0.26493240695858256</v>
      </c>
    </row>
    <row r="26" spans="1:13" ht="15.5" x14ac:dyDescent="0.35">
      <c r="A26" s="54">
        <v>45952</v>
      </c>
      <c r="B26" s="21">
        <v>107688.59</v>
      </c>
      <c r="C26" s="15">
        <v>311.85000000000002</v>
      </c>
      <c r="D26" s="15">
        <v>180.15</v>
      </c>
      <c r="E26" s="22">
        <f t="shared" si="1"/>
        <v>-7.2669856224676366E-3</v>
      </c>
      <c r="F26" s="22">
        <f t="shared" si="2"/>
        <v>2.2291427634814065E-2</v>
      </c>
      <c r="G26" s="22">
        <f t="shared" si="3"/>
        <v>-2.9730166424301041E-2</v>
      </c>
      <c r="H26" s="20">
        <f>MAX($B$4:B26)</f>
        <v>124752.53</v>
      </c>
      <c r="I26" s="18">
        <f t="shared" si="0"/>
        <v>0.1584563415678486</v>
      </c>
      <c r="J26" s="19">
        <f>MAX($C$4:C26)</f>
        <v>342.27</v>
      </c>
      <c r="K26" s="18">
        <f>(J26/C26)-1</f>
        <v>9.7546897546897382E-2</v>
      </c>
      <c r="L26">
        <f>MAX($D$4:D26)</f>
        <v>234.86</v>
      </c>
      <c r="M26" s="18">
        <f>(L26/D26)-1</f>
        <v>0.30369136830419108</v>
      </c>
    </row>
    <row r="27" spans="1:13" ht="15.5" x14ac:dyDescent="0.35">
      <c r="A27" s="54">
        <v>45953</v>
      </c>
      <c r="B27" s="21">
        <v>110069.72</v>
      </c>
      <c r="C27" s="15">
        <v>323.61</v>
      </c>
      <c r="D27" s="15">
        <v>191.39</v>
      </c>
      <c r="E27" s="22">
        <f t="shared" si="1"/>
        <v>2.2111256169293325E-2</v>
      </c>
      <c r="F27" s="22">
        <f t="shared" si="2"/>
        <v>3.7710437710437583E-2</v>
      </c>
      <c r="G27" s="22">
        <f t="shared" si="3"/>
        <v>6.239245073549804E-2</v>
      </c>
      <c r="H27" s="20">
        <f>MAX($B$4:B27)</f>
        <v>124752.53</v>
      </c>
      <c r="I27" s="18">
        <f t="shared" si="0"/>
        <v>0.13339554238895124</v>
      </c>
      <c r="J27" s="19">
        <f>MAX($C$4:C27)</f>
        <v>342.27</v>
      </c>
      <c r="K27" s="18">
        <f>(J27/C27)-1</f>
        <v>5.7662000556224946E-2</v>
      </c>
      <c r="L27">
        <f>MAX($D$4:D27)</f>
        <v>234.86</v>
      </c>
      <c r="M27" s="18">
        <f>(L27/D27)-1</f>
        <v>0.22712785411986003</v>
      </c>
    </row>
    <row r="28" spans="1:13" ht="15.5" x14ac:dyDescent="0.35">
      <c r="A28" s="54">
        <v>45954</v>
      </c>
      <c r="B28" s="21">
        <v>111033.92</v>
      </c>
      <c r="C28" s="15">
        <v>327.13</v>
      </c>
      <c r="D28" s="15">
        <v>193.56</v>
      </c>
      <c r="E28" s="22">
        <f t="shared" si="1"/>
        <v>8.7599023600677395E-3</v>
      </c>
      <c r="F28" s="22">
        <f t="shared" si="2"/>
        <v>1.0877290565804554E-2</v>
      </c>
      <c r="G28" s="22">
        <f t="shared" si="3"/>
        <v>1.1338105439155699E-2</v>
      </c>
      <c r="H28" s="20">
        <f>MAX($B$4:B28)</f>
        <v>124752.53</v>
      </c>
      <c r="I28" s="18">
        <f t="shared" si="0"/>
        <v>0.12355332496592042</v>
      </c>
      <c r="J28" s="19">
        <f>MAX($C$4:C28)</f>
        <v>342.27</v>
      </c>
      <c r="K28" s="18">
        <f>(J28/C28)-1</f>
        <v>4.6281294898052661E-2</v>
      </c>
      <c r="L28">
        <f>MAX($D$4:D28)</f>
        <v>234.86</v>
      </c>
      <c r="M28" s="18">
        <f>(L28/D28)-1</f>
        <v>0.21337053110146731</v>
      </c>
    </row>
    <row r="29" spans="1:13" ht="15.5" x14ac:dyDescent="0.35">
      <c r="A29" s="54">
        <v>45955</v>
      </c>
      <c r="B29" s="21">
        <v>111641.73</v>
      </c>
      <c r="C29" s="15">
        <v>333.85</v>
      </c>
      <c r="D29" s="15">
        <v>194.04</v>
      </c>
      <c r="E29" s="22">
        <f t="shared" si="1"/>
        <v>5.474092961862409E-3</v>
      </c>
      <c r="F29" s="22">
        <f t="shared" si="2"/>
        <v>2.0542292055146349E-2</v>
      </c>
      <c r="G29" s="22">
        <f t="shared" si="3"/>
        <v>2.4798512089274638E-3</v>
      </c>
      <c r="H29" s="20">
        <f>MAX($B$4:B29)</f>
        <v>124752.53</v>
      </c>
      <c r="I29" s="18">
        <f t="shared" si="0"/>
        <v>0.11743637437363263</v>
      </c>
      <c r="J29" s="19">
        <f>MAX($C$4:C29)</f>
        <v>342.27</v>
      </c>
      <c r="K29" s="18">
        <f>(J29/C29)-1</f>
        <v>2.5220907593230368E-2</v>
      </c>
      <c r="L29">
        <f>MAX($D$4:D29)</f>
        <v>234.86</v>
      </c>
      <c r="M29" s="18">
        <f>(L29/D29)-1</f>
        <v>0.21036899608328197</v>
      </c>
    </row>
    <row r="30" spans="1:13" ht="15.5" x14ac:dyDescent="0.35">
      <c r="A30" s="54">
        <v>45956</v>
      </c>
      <c r="B30" s="21">
        <v>114472.44</v>
      </c>
      <c r="C30" s="15">
        <v>348.16</v>
      </c>
      <c r="D30" s="15">
        <v>200.03</v>
      </c>
      <c r="E30" s="22">
        <f t="shared" si="1"/>
        <v>2.5355303971015264E-2</v>
      </c>
      <c r="F30" s="22">
        <f t="shared" si="2"/>
        <v>4.286356147970638E-2</v>
      </c>
      <c r="G30" s="22">
        <f t="shared" si="3"/>
        <v>3.086992372706665E-2</v>
      </c>
      <c r="H30" s="20">
        <f>MAX($B$4:B30)</f>
        <v>124752.53</v>
      </c>
      <c r="I30" s="18">
        <f t="shared" si="0"/>
        <v>8.9804061134715063E-2</v>
      </c>
      <c r="J30" s="19">
        <f>MAX($C$4:C30)</f>
        <v>348.16</v>
      </c>
      <c r="K30" s="18">
        <f>(J30/C30)-1</f>
        <v>0</v>
      </c>
      <c r="L30">
        <f>MAX($D$4:D30)</f>
        <v>234.86</v>
      </c>
      <c r="M30" s="18">
        <f>(L30/D30)-1</f>
        <v>0.17412388141778745</v>
      </c>
    </row>
    <row r="31" spans="1:13" ht="15.5" x14ac:dyDescent="0.35">
      <c r="A31" s="54">
        <v>45957</v>
      </c>
      <c r="B31" s="21">
        <v>114119.32</v>
      </c>
      <c r="C31" s="15">
        <v>340.69</v>
      </c>
      <c r="D31" s="15">
        <v>198.74</v>
      </c>
      <c r="E31" s="22">
        <f t="shared" si="1"/>
        <v>-3.084759964931294E-3</v>
      </c>
      <c r="F31" s="22">
        <f t="shared" si="2"/>
        <v>-2.1455652573529438E-2</v>
      </c>
      <c r="G31" s="22">
        <f t="shared" si="3"/>
        <v>-6.4490326451032143E-3</v>
      </c>
      <c r="H31" s="20">
        <f>MAX($B$4:B31)</f>
        <v>124752.53</v>
      </c>
      <c r="I31" s="18">
        <f t="shared" si="0"/>
        <v>9.3176247457485539E-2</v>
      </c>
      <c r="J31" s="19">
        <f>MAX($C$4:C31)</f>
        <v>348.16</v>
      </c>
      <c r="K31" s="18">
        <f>(J31/C31)-1</f>
        <v>2.1926091167923989E-2</v>
      </c>
      <c r="L31">
        <f>MAX($D$4:D31)</f>
        <v>234.86</v>
      </c>
      <c r="M31" s="18">
        <f>(L31/D31)-1</f>
        <v>0.18174499345879047</v>
      </c>
    </row>
    <row r="32" spans="1:13" ht="15.5" x14ac:dyDescent="0.35">
      <c r="A32" s="54">
        <v>45958</v>
      </c>
      <c r="B32" s="21">
        <v>112956.17</v>
      </c>
      <c r="C32" s="15">
        <v>335.3</v>
      </c>
      <c r="D32" s="15">
        <v>194.44</v>
      </c>
      <c r="E32" s="22">
        <f t="shared" si="1"/>
        <v>-1.0192402127878197E-2</v>
      </c>
      <c r="F32" s="22">
        <f t="shared" si="2"/>
        <v>-1.5820834189439026E-2</v>
      </c>
      <c r="G32" s="22">
        <f t="shared" si="3"/>
        <v>-2.1636308745094146E-2</v>
      </c>
      <c r="H32" s="20">
        <f>MAX($B$4:B32)</f>
        <v>124752.53</v>
      </c>
      <c r="I32" s="18">
        <f t="shared" si="0"/>
        <v>0.10443307346557518</v>
      </c>
      <c r="J32" s="19">
        <f>MAX($C$4:C32)</f>
        <v>348.16</v>
      </c>
      <c r="K32" s="18">
        <f>(J32/C32)-1</f>
        <v>3.8353713092752706E-2</v>
      </c>
      <c r="L32">
        <f>MAX($D$4:D32)</f>
        <v>234.86</v>
      </c>
      <c r="M32" s="18">
        <f>(L32/D32)-1</f>
        <v>0.2078790372351369</v>
      </c>
    </row>
    <row r="33" spans="1:13" ht="15.5" x14ac:dyDescent="0.35">
      <c r="A33" s="54">
        <v>45959</v>
      </c>
      <c r="B33" s="21">
        <v>110055.3</v>
      </c>
      <c r="C33" s="15">
        <v>336.39</v>
      </c>
      <c r="D33" s="15">
        <v>194.41</v>
      </c>
      <c r="E33" s="22">
        <f t="shared" si="1"/>
        <v>-2.5681377121763216E-2</v>
      </c>
      <c r="F33" s="22">
        <f t="shared" si="2"/>
        <v>3.2508201610497167E-3</v>
      </c>
      <c r="G33" s="22">
        <f t="shared" si="3"/>
        <v>-1.5428924089688767E-4</v>
      </c>
      <c r="H33" s="20">
        <f>MAX($B$4:B33)</f>
        <v>124752.53</v>
      </c>
      <c r="I33" s="18">
        <f t="shared" si="0"/>
        <v>0.13354404558435617</v>
      </c>
      <c r="J33" s="19">
        <f>MAX($C$4:C33)</f>
        <v>348.16</v>
      </c>
      <c r="K33" s="18">
        <f>(J33/C33)-1</f>
        <v>3.4989149499093486E-2</v>
      </c>
      <c r="L33">
        <f>MAX($D$4:D33)</f>
        <v>234.86</v>
      </c>
      <c r="M33" s="18">
        <f>(L33/D33)-1</f>
        <v>0.20806542873308986</v>
      </c>
    </row>
    <row r="34" spans="1:13" ht="15.5" x14ac:dyDescent="0.35">
      <c r="A34" s="54">
        <v>45960</v>
      </c>
      <c r="B34" s="21">
        <v>108305.55</v>
      </c>
      <c r="C34" s="15">
        <v>323.08</v>
      </c>
      <c r="D34" s="15">
        <v>184.62</v>
      </c>
      <c r="E34" s="22">
        <f t="shared" si="1"/>
        <v>-1.5898825408680928E-2</v>
      </c>
      <c r="F34" s="22">
        <f t="shared" si="2"/>
        <v>-3.9567169059722351E-2</v>
      </c>
      <c r="G34" s="22">
        <f t="shared" si="3"/>
        <v>-5.0357491898564866E-2</v>
      </c>
      <c r="H34" s="20">
        <f>MAX($B$4:B34)</f>
        <v>124752.53</v>
      </c>
      <c r="I34" s="18">
        <f t="shared" si="0"/>
        <v>0.15185722245997546</v>
      </c>
      <c r="J34" s="19">
        <f>MAX($C$4:C34)</f>
        <v>348.16</v>
      </c>
      <c r="K34" s="18">
        <f>(J34/C34)-1</f>
        <v>7.7627832115884754E-2</v>
      </c>
      <c r="L34">
        <f>MAX($D$4:D34)</f>
        <v>234.86</v>
      </c>
      <c r="M34" s="18">
        <f>(L34/D34)-1</f>
        <v>0.27212653017007904</v>
      </c>
    </row>
    <row r="35" spans="1:13" ht="15.5" x14ac:dyDescent="0.35">
      <c r="A35" s="54">
        <v>45961</v>
      </c>
      <c r="B35" s="21">
        <v>109556.16</v>
      </c>
      <c r="C35" s="15">
        <v>334.77</v>
      </c>
      <c r="D35" s="15">
        <v>187.21</v>
      </c>
      <c r="E35" s="22">
        <f t="shared" si="1"/>
        <v>1.1547053682844588E-2</v>
      </c>
      <c r="F35" s="22">
        <f t="shared" si="2"/>
        <v>3.6182988733440613E-2</v>
      </c>
      <c r="G35" s="22">
        <f t="shared" si="3"/>
        <v>1.4028815946268036E-2</v>
      </c>
      <c r="H35" s="20">
        <f>MAX($B$4:B35)</f>
        <v>124752.53</v>
      </c>
      <c r="I35" s="18">
        <f t="shared" si="0"/>
        <v>0.13870849434664367</v>
      </c>
      <c r="J35" s="19">
        <f>MAX($C$4:C35)</f>
        <v>348.16</v>
      </c>
      <c r="K35" s="18">
        <f>(J35/C35)-1</f>
        <v>3.999761029960891E-2</v>
      </c>
      <c r="L35">
        <f>MAX($D$4:D35)</f>
        <v>234.86</v>
      </c>
      <c r="M35" s="18">
        <f>(L35/D35)-1</f>
        <v>0.25452700176272636</v>
      </c>
    </row>
    <row r="36" spans="1:13" ht="15.5" x14ac:dyDescent="0.35">
      <c r="A36" s="54">
        <v>45962</v>
      </c>
      <c r="B36" s="21">
        <v>110064.02</v>
      </c>
      <c r="C36" s="15">
        <v>348.21</v>
      </c>
      <c r="D36" s="15">
        <v>186.38</v>
      </c>
      <c r="E36" s="22">
        <f t="shared" si="1"/>
        <v>4.6356133694354096E-3</v>
      </c>
      <c r="F36" s="22">
        <f t="shared" si="2"/>
        <v>4.014696657406569E-2</v>
      </c>
      <c r="G36" s="22">
        <f t="shared" si="3"/>
        <v>-4.4335238502217766E-3</v>
      </c>
      <c r="H36" s="20">
        <f>MAX($B$4:B36)</f>
        <v>124752.53</v>
      </c>
      <c r="I36" s="18">
        <f t="shared" si="0"/>
        <v>0.13345423872397166</v>
      </c>
      <c r="J36" s="19">
        <f>MAX($C$4:C36)</f>
        <v>348.21</v>
      </c>
      <c r="K36" s="18">
        <f>(J36/C36)-1</f>
        <v>0</v>
      </c>
      <c r="L36">
        <f>MAX($D$4:D36)</f>
        <v>234.86</v>
      </c>
      <c r="M36" s="18">
        <f>(L36/D36)-1</f>
        <v>0.26011374611009774</v>
      </c>
    </row>
    <row r="37" spans="1:13" ht="15.5" x14ac:dyDescent="0.35">
      <c r="A37" s="54">
        <v>45963</v>
      </c>
      <c r="B37" s="21">
        <v>110639.63</v>
      </c>
      <c r="C37" s="15">
        <v>347.23</v>
      </c>
      <c r="D37" s="15">
        <v>187.83</v>
      </c>
      <c r="E37" s="22">
        <f t="shared" si="1"/>
        <v>5.2297744530864776E-3</v>
      </c>
      <c r="F37" s="22">
        <f t="shared" si="2"/>
        <v>-2.8143936130494707E-3</v>
      </c>
      <c r="G37" s="22">
        <f t="shared" si="3"/>
        <v>7.7798047000752213E-3</v>
      </c>
      <c r="H37" s="20">
        <f>MAX($B$4:B37)</f>
        <v>124752.53</v>
      </c>
      <c r="I37" s="18">
        <f t="shared" si="0"/>
        <v>0.1275573680063824</v>
      </c>
      <c r="J37" s="19">
        <f>MAX($C$4:C37)</f>
        <v>348.21</v>
      </c>
      <c r="K37" s="18">
        <f>(J37/C37)-1</f>
        <v>2.8223367796560428E-3</v>
      </c>
      <c r="L37">
        <f>MAX($D$4:D37)</f>
        <v>234.86</v>
      </c>
      <c r="M37" s="18">
        <f>(L37/D37)-1</f>
        <v>0.25038598732896777</v>
      </c>
    </row>
    <row r="38" spans="1:13" ht="15.5" x14ac:dyDescent="0.35">
      <c r="A38" s="54">
        <v>45964</v>
      </c>
      <c r="B38" s="21">
        <v>106547.52</v>
      </c>
      <c r="C38" s="15">
        <v>345.42</v>
      </c>
      <c r="D38" s="15">
        <v>166.09</v>
      </c>
      <c r="E38" s="22">
        <f t="shared" si="1"/>
        <v>-3.6985933521288872E-2</v>
      </c>
      <c r="F38" s="22">
        <f t="shared" si="2"/>
        <v>-5.2126832358955211E-3</v>
      </c>
      <c r="G38" s="22">
        <f t="shared" si="3"/>
        <v>-0.11574295905872334</v>
      </c>
      <c r="H38" s="20">
        <f>MAX($B$4:B38)</f>
        <v>124752.53</v>
      </c>
      <c r="I38" s="18">
        <f t="shared" si="0"/>
        <v>0.17086282252275797</v>
      </c>
      <c r="J38" s="19">
        <f>MAX($C$4:C38)</f>
        <v>348.21</v>
      </c>
      <c r="K38" s="18">
        <f>(J38/C38)-1</f>
        <v>8.0771235018237686E-3</v>
      </c>
      <c r="L38">
        <f>MAX($D$4:D38)</f>
        <v>234.86</v>
      </c>
      <c r="M38" s="18">
        <f>(L38/D38)-1</f>
        <v>0.41405262207237037</v>
      </c>
    </row>
    <row r="39" spans="1:13" ht="15.5" x14ac:dyDescent="0.35">
      <c r="A39" s="54">
        <v>45965</v>
      </c>
      <c r="B39" s="21">
        <v>101590.52</v>
      </c>
      <c r="C39" s="15">
        <v>338.52</v>
      </c>
      <c r="D39" s="15">
        <v>155.4</v>
      </c>
      <c r="E39" s="22">
        <f t="shared" si="1"/>
        <v>-4.6523842131661053E-2</v>
      </c>
      <c r="F39" s="22">
        <f t="shared" si="2"/>
        <v>-1.9975681778704235E-2</v>
      </c>
      <c r="G39" s="22">
        <f t="shared" si="3"/>
        <v>-6.4362694924438579E-2</v>
      </c>
      <c r="H39" s="20">
        <f>MAX($B$4:B39)</f>
        <v>124752.53</v>
      </c>
      <c r="I39" s="18">
        <f t="shared" si="0"/>
        <v>0.22799381280851794</v>
      </c>
      <c r="J39" s="19">
        <f>MAX($C$4:C39)</f>
        <v>348.21</v>
      </c>
      <c r="K39" s="18">
        <f>(J39/C39)-1</f>
        <v>2.8624601205246458E-2</v>
      </c>
      <c r="L39">
        <f>MAX($D$4:D39)</f>
        <v>234.86</v>
      </c>
      <c r="M39" s="18">
        <f>(L39/D39)-1</f>
        <v>0.51132561132561127</v>
      </c>
    </row>
    <row r="40" spans="1:13" ht="15.5" x14ac:dyDescent="0.35">
      <c r="A40" s="54">
        <v>45966</v>
      </c>
      <c r="B40" s="21">
        <v>103891.84</v>
      </c>
      <c r="C40" s="15">
        <v>344.19</v>
      </c>
      <c r="D40" s="15">
        <v>162.57</v>
      </c>
      <c r="E40" s="22">
        <f t="shared" si="1"/>
        <v>2.2652901077777621E-2</v>
      </c>
      <c r="F40" s="22">
        <f t="shared" si="2"/>
        <v>1.6749379652605478E-2</v>
      </c>
      <c r="G40" s="22">
        <f t="shared" si="3"/>
        <v>4.6138996138995969E-2</v>
      </c>
      <c r="H40" s="20">
        <f>MAX($B$4:B40)</f>
        <v>124752.53</v>
      </c>
      <c r="I40" s="18">
        <f t="shared" si="0"/>
        <v>0.20079238176934777</v>
      </c>
      <c r="J40" s="19">
        <f>MAX($C$4:C40)</f>
        <v>348.21</v>
      </c>
      <c r="K40" s="18">
        <f>(J40/C40)-1</f>
        <v>1.1679595572212875E-2</v>
      </c>
      <c r="L40">
        <f>MAX($D$4:D40)</f>
        <v>234.86</v>
      </c>
      <c r="M40" s="18">
        <f>(L40/D40)-1</f>
        <v>0.44466998831272697</v>
      </c>
    </row>
    <row r="41" spans="1:13" ht="15.5" x14ac:dyDescent="0.35">
      <c r="A41" s="54">
        <v>45967</v>
      </c>
      <c r="B41" s="21">
        <v>101301.29</v>
      </c>
      <c r="C41" s="15">
        <v>359.29</v>
      </c>
      <c r="D41" s="15">
        <v>155.07</v>
      </c>
      <c r="E41" s="22">
        <f t="shared" si="1"/>
        <v>-2.4935067085153251E-2</v>
      </c>
      <c r="F41" s="22">
        <f t="shared" si="2"/>
        <v>4.3871117696621109E-2</v>
      </c>
      <c r="G41" s="22">
        <f t="shared" si="3"/>
        <v>-4.6133973057759681E-2</v>
      </c>
      <c r="H41" s="20">
        <f>MAX($B$4:B41)</f>
        <v>124752.53</v>
      </c>
      <c r="I41" s="18">
        <f t="shared" si="0"/>
        <v>0.2314999147592296</v>
      </c>
      <c r="J41" s="19">
        <f>MAX($C$4:C41)</f>
        <v>359.29</v>
      </c>
      <c r="K41" s="18">
        <f>(J41/C41)-1</f>
        <v>0</v>
      </c>
      <c r="L41">
        <f>MAX($D$4:D41)</f>
        <v>234.86</v>
      </c>
      <c r="M41" s="18">
        <f>(L41/D41)-1</f>
        <v>0.51454181982330582</v>
      </c>
    </row>
    <row r="42" spans="1:13" ht="15.5" x14ac:dyDescent="0.35">
      <c r="A42" s="54">
        <v>45968</v>
      </c>
      <c r="B42" s="21">
        <v>103372.41</v>
      </c>
      <c r="C42" s="15">
        <v>368.19</v>
      </c>
      <c r="D42" s="15">
        <v>161.71</v>
      </c>
      <c r="E42" s="22">
        <f t="shared" si="1"/>
        <v>2.044514931645991E-2</v>
      </c>
      <c r="F42" s="22">
        <f t="shared" si="2"/>
        <v>2.4771076289348271E-2</v>
      </c>
      <c r="G42" s="22">
        <f t="shared" si="3"/>
        <v>4.2819371896563041E-2</v>
      </c>
      <c r="H42" s="20">
        <f>MAX($B$4:B42)</f>
        <v>124752.53</v>
      </c>
      <c r="I42" s="18">
        <f t="shared" si="0"/>
        <v>0.20682617344415211</v>
      </c>
      <c r="J42" s="19">
        <f>MAX($C$4:C42)</f>
        <v>368.19</v>
      </c>
      <c r="K42" s="18">
        <f>(J42/C42)-1</f>
        <v>0</v>
      </c>
      <c r="L42">
        <f>MAX($D$4:D42)</f>
        <v>234.86</v>
      </c>
      <c r="M42" s="18">
        <f>(L42/D42)-1</f>
        <v>0.45235297755240866</v>
      </c>
    </row>
    <row r="43" spans="1:13" ht="15.5" x14ac:dyDescent="0.35">
      <c r="A43" s="54">
        <v>45969</v>
      </c>
      <c r="B43" s="21">
        <v>102282.11</v>
      </c>
      <c r="C43" s="15">
        <v>366.34</v>
      </c>
      <c r="D43" s="15">
        <v>158.1</v>
      </c>
      <c r="E43" s="22">
        <f t="shared" si="1"/>
        <v>-1.0547301741344772E-2</v>
      </c>
      <c r="F43" s="22">
        <f t="shared" si="2"/>
        <v>-5.0245797006980286E-3</v>
      </c>
      <c r="G43" s="22">
        <f t="shared" si="3"/>
        <v>-2.2323913177911159E-2</v>
      </c>
      <c r="H43" s="20">
        <f>MAX($B$4:B43)</f>
        <v>124752.53</v>
      </c>
      <c r="I43" s="18">
        <f t="shared" si="0"/>
        <v>0.21969061842779736</v>
      </c>
      <c r="J43" s="19">
        <f>MAX($C$4:C43)</f>
        <v>368.19</v>
      </c>
      <c r="K43" s="18">
        <f>(J43/C43)-1</f>
        <v>5.0499535950210284E-3</v>
      </c>
      <c r="L43">
        <f>MAX($D$4:D43)</f>
        <v>234.86</v>
      </c>
      <c r="M43" s="18">
        <f>(L43/D43)-1</f>
        <v>0.48551549652118919</v>
      </c>
    </row>
    <row r="44" spans="1:13" ht="15.5" x14ac:dyDescent="0.35">
      <c r="A44" s="54">
        <v>45970</v>
      </c>
      <c r="B44" s="21">
        <v>104719.64</v>
      </c>
      <c r="C44" s="15">
        <v>416</v>
      </c>
      <c r="D44" s="15">
        <v>164.45</v>
      </c>
      <c r="E44" s="22">
        <f t="shared" si="1"/>
        <v>2.3831440317373165E-2</v>
      </c>
      <c r="F44" s="22">
        <f t="shared" si="2"/>
        <v>0.13555713271823988</v>
      </c>
      <c r="G44" s="22">
        <f t="shared" si="3"/>
        <v>4.016445287792525E-2</v>
      </c>
      <c r="H44" s="20">
        <f>MAX($B$4:B44)</f>
        <v>124752.53</v>
      </c>
      <c r="I44" s="18">
        <f t="shared" si="0"/>
        <v>0.19130021837355438</v>
      </c>
      <c r="J44" s="19">
        <f>MAX($C$4:C44)</f>
        <v>416</v>
      </c>
      <c r="K44" s="18">
        <f>(J44/C44)-1</f>
        <v>0</v>
      </c>
      <c r="L44">
        <f>MAX($D$4:D44)</f>
        <v>234.86</v>
      </c>
      <c r="M44" s="18">
        <f>(L44/D44)-1</f>
        <v>0.42815445424141085</v>
      </c>
    </row>
    <row r="45" spans="1:13" ht="15.5" x14ac:dyDescent="0.35">
      <c r="A45" s="54">
        <v>45971</v>
      </c>
      <c r="B45" s="21">
        <v>105996.6</v>
      </c>
      <c r="C45" s="15">
        <v>386.83</v>
      </c>
      <c r="D45" s="15">
        <v>167.37</v>
      </c>
      <c r="E45" s="22">
        <f t="shared" si="1"/>
        <v>1.2194083172936798E-2</v>
      </c>
      <c r="F45" s="22">
        <f t="shared" si="2"/>
        <v>-7.0120192307692397E-2</v>
      </c>
      <c r="G45" s="22">
        <f t="shared" si="3"/>
        <v>1.7756156886591823E-2</v>
      </c>
      <c r="H45" s="20">
        <f>MAX($B$4:B45)</f>
        <v>124752.53</v>
      </c>
      <c r="I45" s="18">
        <f t="shared" si="0"/>
        <v>0.17694841155282326</v>
      </c>
      <c r="J45" s="19">
        <f>MAX($C$4:C45)</f>
        <v>416</v>
      </c>
      <c r="K45" s="18">
        <f>(J45/C45)-1</f>
        <v>7.5407801876793412E-2</v>
      </c>
      <c r="L45">
        <f>MAX($D$4:D45)</f>
        <v>234.86</v>
      </c>
      <c r="M45" s="18">
        <f>(L45/D45)-1</f>
        <v>0.40323833422955135</v>
      </c>
    </row>
    <row r="46" spans="1:13" ht="15.5" x14ac:dyDescent="0.35">
      <c r="A46" s="54">
        <v>45972</v>
      </c>
      <c r="B46" s="21">
        <v>102997.47</v>
      </c>
      <c r="C46" s="15">
        <v>369.34</v>
      </c>
      <c r="D46" s="15">
        <v>154.57</v>
      </c>
      <c r="E46" s="22">
        <f t="shared" si="1"/>
        <v>-2.829458680750141E-2</v>
      </c>
      <c r="F46" s="22">
        <f t="shared" si="2"/>
        <v>-4.5213659747175838E-2</v>
      </c>
      <c r="G46" s="22">
        <f t="shared" si="3"/>
        <v>-7.6477265937742844E-2</v>
      </c>
      <c r="H46" s="20">
        <f>MAX($B$4:B46)</f>
        <v>124752.53</v>
      </c>
      <c r="I46" s="18">
        <f t="shared" si="0"/>
        <v>0.21121936296105126</v>
      </c>
      <c r="J46" s="19">
        <f>MAX($C$4:C46)</f>
        <v>416</v>
      </c>
      <c r="K46" s="18">
        <f>(J46/C46)-1</f>
        <v>0.12633345968484333</v>
      </c>
      <c r="L46">
        <f>MAX($D$4:D46)</f>
        <v>234.86</v>
      </c>
      <c r="M46" s="18">
        <f>(L46/D46)-1</f>
        <v>0.51944102995406638</v>
      </c>
    </row>
    <row r="47" spans="1:13" ht="15.5" x14ac:dyDescent="0.35">
      <c r="A47" s="54">
        <v>45973</v>
      </c>
      <c r="B47" s="21">
        <v>101663.19</v>
      </c>
      <c r="C47" s="15">
        <v>387.27</v>
      </c>
      <c r="D47" s="15">
        <v>153.26</v>
      </c>
      <c r="E47" s="22">
        <f t="shared" si="1"/>
        <v>-1.2954492959875608E-2</v>
      </c>
      <c r="F47" s="22">
        <f t="shared" si="2"/>
        <v>4.85460551253587E-2</v>
      </c>
      <c r="G47" s="22">
        <f t="shared" si="3"/>
        <v>-8.4751245390438656E-3</v>
      </c>
      <c r="H47" s="20">
        <f>MAX($B$4:B47)</f>
        <v>124752.53</v>
      </c>
      <c r="I47" s="18">
        <f t="shared" si="0"/>
        <v>0.22711602891862825</v>
      </c>
      <c r="J47" s="19">
        <f>MAX($C$4:C47)</f>
        <v>416</v>
      </c>
      <c r="K47" s="18">
        <f>(J47/C47)-1</f>
        <v>7.4185968445787287E-2</v>
      </c>
      <c r="L47">
        <f>MAX($D$4:D47)</f>
        <v>234.86</v>
      </c>
      <c r="M47" s="18">
        <f>(L47/D47)-1</f>
        <v>0.53242855278611523</v>
      </c>
    </row>
    <row r="48" spans="1:13" ht="15.5" x14ac:dyDescent="0.35">
      <c r="A48" s="54">
        <v>45974</v>
      </c>
      <c r="B48" s="21">
        <v>99697.49</v>
      </c>
      <c r="C48" s="15">
        <v>387.01</v>
      </c>
      <c r="D48" s="15">
        <v>145.11000000000001</v>
      </c>
      <c r="E48" s="22">
        <f t="shared" si="1"/>
        <v>-1.9335415306169335E-2</v>
      </c>
      <c r="F48" s="22">
        <f t="shared" si="2"/>
        <v>-6.7136623027863607E-4</v>
      </c>
      <c r="G48" s="22">
        <f t="shared" si="3"/>
        <v>-5.3177606681456213E-2</v>
      </c>
      <c r="H48" s="20">
        <f>MAX($B$4:B48)</f>
        <v>124752.53</v>
      </c>
      <c r="I48" s="18">
        <f t="shared" si="0"/>
        <v>0.25131063981650881</v>
      </c>
      <c r="J48" s="19">
        <f>MAX($C$4:C48)</f>
        <v>416</v>
      </c>
      <c r="K48" s="18">
        <f>(J48/C48)-1</f>
        <v>7.4907625125965716E-2</v>
      </c>
      <c r="L48">
        <f>MAX($D$4:D48)</f>
        <v>234.86</v>
      </c>
      <c r="M48" s="18">
        <f>(L48/D48)-1</f>
        <v>0.61849631314175446</v>
      </c>
    </row>
    <row r="49" spans="1:13" ht="15.5" x14ac:dyDescent="0.35">
      <c r="A49" s="54">
        <v>45975</v>
      </c>
      <c r="B49" s="21">
        <v>94397.79</v>
      </c>
      <c r="C49" s="15">
        <v>391.53</v>
      </c>
      <c r="D49" s="15">
        <v>138.68</v>
      </c>
      <c r="E49" s="22">
        <f t="shared" si="1"/>
        <v>-5.3157807684025005E-2</v>
      </c>
      <c r="F49" s="22">
        <f t="shared" si="2"/>
        <v>1.1679284773003173E-2</v>
      </c>
      <c r="G49" s="22">
        <f t="shared" si="3"/>
        <v>-4.4311212183860582E-2</v>
      </c>
      <c r="H49" s="20">
        <f>MAX($B$4:B49)</f>
        <v>124752.53</v>
      </c>
      <c r="I49" s="18">
        <f t="shared" si="0"/>
        <v>0.32156197724544189</v>
      </c>
      <c r="J49" s="19">
        <f>MAX($C$4:C49)</f>
        <v>416</v>
      </c>
      <c r="K49" s="18">
        <f>(J49/C49)-1</f>
        <v>6.2498403698311833E-2</v>
      </c>
      <c r="L49">
        <f>MAX($D$4:D49)</f>
        <v>234.86</v>
      </c>
      <c r="M49" s="18">
        <f>(L49/D49)-1</f>
        <v>0.69353908278050191</v>
      </c>
    </row>
    <row r="50" spans="1:13" ht="15.5" x14ac:dyDescent="0.35">
      <c r="A50" s="54">
        <v>45976</v>
      </c>
      <c r="B50" s="21">
        <v>95549.15</v>
      </c>
      <c r="C50" s="15">
        <v>419.65</v>
      </c>
      <c r="D50" s="15">
        <v>139.54</v>
      </c>
      <c r="E50" s="22">
        <f t="shared" si="1"/>
        <v>1.2196895711223732E-2</v>
      </c>
      <c r="F50" s="22">
        <f t="shared" si="2"/>
        <v>7.1820805557683887E-2</v>
      </c>
      <c r="G50" s="22">
        <f t="shared" si="3"/>
        <v>6.2013267955003393E-3</v>
      </c>
      <c r="H50" s="20">
        <f>MAX($B$4:B50)</f>
        <v>124752.53</v>
      </c>
      <c r="I50" s="18">
        <f t="shared" si="0"/>
        <v>0.30563725579976375</v>
      </c>
      <c r="J50" s="19">
        <f>MAX($C$4:C50)</f>
        <v>419.65</v>
      </c>
      <c r="K50" s="18">
        <f>(J50/C50)-1</f>
        <v>0</v>
      </c>
      <c r="L50">
        <f>MAX($D$4:D50)</f>
        <v>234.86</v>
      </c>
      <c r="M50" s="18">
        <f>(L50/D50)-1</f>
        <v>0.68310161960728122</v>
      </c>
    </row>
    <row r="51" spans="1:13" ht="15.5" x14ac:dyDescent="0.35">
      <c r="A51" s="54">
        <v>45977</v>
      </c>
      <c r="B51" s="21">
        <v>94177.07</v>
      </c>
      <c r="C51" s="15">
        <v>406.11</v>
      </c>
      <c r="D51" s="15">
        <v>137.27000000000001</v>
      </c>
      <c r="E51" s="22">
        <f t="shared" si="1"/>
        <v>-1.4359939361051177E-2</v>
      </c>
      <c r="F51" s="22">
        <f t="shared" si="2"/>
        <v>-3.2264982723698266E-2</v>
      </c>
      <c r="G51" s="22">
        <f t="shared" si="3"/>
        <v>-1.6267736849648662E-2</v>
      </c>
      <c r="H51" s="20">
        <f>MAX($B$4:B51)</f>
        <v>124752.53</v>
      </c>
      <c r="I51" s="18">
        <f t="shared" si="0"/>
        <v>0.32465928277445877</v>
      </c>
      <c r="J51" s="19">
        <f>MAX($C$4:C51)</f>
        <v>419.65</v>
      </c>
      <c r="K51" s="18">
        <f>(J51/C51)-1</f>
        <v>3.334072049444714E-2</v>
      </c>
      <c r="L51">
        <f>MAX($D$4:D51)</f>
        <v>234.86</v>
      </c>
      <c r="M51" s="18">
        <f>(L51/D51)-1</f>
        <v>0.71093465433088077</v>
      </c>
    </row>
    <row r="52" spans="1:13" ht="15.5" x14ac:dyDescent="0.35">
      <c r="A52" s="54">
        <v>45978</v>
      </c>
      <c r="B52" s="21">
        <v>92093.87</v>
      </c>
      <c r="C52" s="15">
        <v>406.52</v>
      </c>
      <c r="D52" s="15">
        <v>130.85</v>
      </c>
      <c r="E52" s="22">
        <f t="shared" si="1"/>
        <v>-2.2120034101719366E-2</v>
      </c>
      <c r="F52" s="22">
        <f t="shared" si="2"/>
        <v>1.0095786855777167E-3</v>
      </c>
      <c r="G52" s="22">
        <f t="shared" si="3"/>
        <v>-4.6769141108763845E-2</v>
      </c>
      <c r="H52" s="20">
        <f>MAX($B$4:B52)</f>
        <v>124752.53</v>
      </c>
      <c r="I52" s="18">
        <f t="shared" si="0"/>
        <v>0.35462360306934659</v>
      </c>
      <c r="J52" s="19">
        <f>MAX($C$4:C52)</f>
        <v>419.65</v>
      </c>
      <c r="K52" s="18">
        <f>(J52/C52)-1</f>
        <v>3.2298533897471282E-2</v>
      </c>
      <c r="L52">
        <f>MAX($D$4:D52)</f>
        <v>234.86</v>
      </c>
      <c r="M52" s="18">
        <f>(L52/D52)-1</f>
        <v>0.79487963316774946</v>
      </c>
    </row>
    <row r="53" spans="1:13" ht="15.5" x14ac:dyDescent="0.35">
      <c r="A53" s="54">
        <v>45979</v>
      </c>
      <c r="B53" s="21">
        <v>92948.87</v>
      </c>
      <c r="C53" s="15">
        <v>403.8</v>
      </c>
      <c r="D53" s="15">
        <v>140.71</v>
      </c>
      <c r="E53" s="22">
        <f t="shared" si="1"/>
        <v>9.2840055478176087E-3</v>
      </c>
      <c r="F53" s="22">
        <f t="shared" si="2"/>
        <v>-6.6909377152415406E-3</v>
      </c>
      <c r="G53" s="22">
        <f t="shared" si="3"/>
        <v>7.5353458158196496E-2</v>
      </c>
      <c r="H53" s="20">
        <f>MAX($B$4:B53)</f>
        <v>124752.53</v>
      </c>
      <c r="I53" s="18">
        <f t="shared" si="0"/>
        <v>0.3421629547513596</v>
      </c>
      <c r="J53" s="19">
        <f>MAX($C$4:C53)</f>
        <v>419.65</v>
      </c>
      <c r="K53" s="18">
        <f>(J53/C53)-1</f>
        <v>3.9252105002476334E-2</v>
      </c>
      <c r="L53">
        <f>MAX($D$4:D53)</f>
        <v>234.86</v>
      </c>
      <c r="M53" s="18">
        <f>(L53/D53)-1</f>
        <v>0.66910667329969442</v>
      </c>
    </row>
    <row r="54" spans="1:13" ht="15.5" x14ac:dyDescent="0.35">
      <c r="A54" s="54">
        <v>45980</v>
      </c>
      <c r="B54" s="21">
        <v>91465.99</v>
      </c>
      <c r="C54" s="15">
        <v>365.41</v>
      </c>
      <c r="D54" s="15">
        <v>136.77000000000001</v>
      </c>
      <c r="E54" s="22">
        <f t="shared" si="1"/>
        <v>-1.5953717350194685E-2</v>
      </c>
      <c r="F54" s="22">
        <f t="shared" si="2"/>
        <v>-9.5071817731550268E-2</v>
      </c>
      <c r="G54" s="22">
        <f t="shared" si="3"/>
        <v>-2.8000852817852251E-2</v>
      </c>
      <c r="H54" s="20">
        <f>MAX($B$4:B54)</f>
        <v>124752.53</v>
      </c>
      <c r="I54" s="18">
        <f t="shared" si="0"/>
        <v>0.36392259024365226</v>
      </c>
      <c r="J54" s="19">
        <f>MAX($C$4:C54)</f>
        <v>419.65</v>
      </c>
      <c r="K54" s="18">
        <f>(J54/C54)-1</f>
        <v>0.14843600339344842</v>
      </c>
      <c r="L54">
        <f>MAX($D$4:D54)</f>
        <v>234.86</v>
      </c>
      <c r="M54" s="18">
        <f>(L54/D54)-1</f>
        <v>0.71718944212912183</v>
      </c>
    </row>
    <row r="55" spans="1:13" ht="15.5" x14ac:dyDescent="0.35">
      <c r="A55" s="54">
        <v>45981</v>
      </c>
      <c r="B55" s="21">
        <v>86631.9</v>
      </c>
      <c r="C55" s="15">
        <v>339.27</v>
      </c>
      <c r="D55" s="15">
        <v>133.52000000000001</v>
      </c>
      <c r="E55" s="22">
        <f t="shared" si="1"/>
        <v>-5.2851229183656256E-2</v>
      </c>
      <c r="F55" s="22">
        <f t="shared" si="2"/>
        <v>-7.1536082756356034E-2</v>
      </c>
      <c r="G55" s="22">
        <f t="shared" si="3"/>
        <v>-2.3762521020691652E-2</v>
      </c>
      <c r="H55" s="20">
        <f>MAX($B$4:B55)</f>
        <v>124752.53</v>
      </c>
      <c r="I55" s="18">
        <f t="shared" si="0"/>
        <v>0.44002994278089247</v>
      </c>
      <c r="J55" s="19">
        <f>MAX($C$4:C55)</f>
        <v>419.65</v>
      </c>
      <c r="K55" s="18">
        <f>(J55/C55)-1</f>
        <v>0.23692044684174851</v>
      </c>
      <c r="L55">
        <f>MAX($D$4:D55)</f>
        <v>234.86</v>
      </c>
      <c r="M55" s="18">
        <f>(L55/D55)-1</f>
        <v>0.75898741761533839</v>
      </c>
    </row>
    <row r="56" spans="1:13" ht="15.5" x14ac:dyDescent="0.35">
      <c r="A56" s="54">
        <v>45982</v>
      </c>
      <c r="B56" s="21">
        <v>85090.69</v>
      </c>
      <c r="C56" s="15">
        <v>336.17</v>
      </c>
      <c r="D56" s="15">
        <v>128.5</v>
      </c>
      <c r="E56" s="22">
        <f t="shared" si="1"/>
        <v>-1.7790328966581503E-2</v>
      </c>
      <c r="F56" s="22">
        <f t="shared" si="2"/>
        <v>-9.1372653049193175E-3</v>
      </c>
      <c r="G56" s="22">
        <f t="shared" si="3"/>
        <v>-3.7597363690832886E-2</v>
      </c>
      <c r="H56" s="20">
        <f>MAX($B$4:B56)</f>
        <v>124752.53</v>
      </c>
      <c r="I56" s="18">
        <f t="shared" si="0"/>
        <v>0.46611256766163245</v>
      </c>
      <c r="J56" s="19">
        <f>MAX($C$4:C56)</f>
        <v>419.65</v>
      </c>
      <c r="K56" s="18">
        <f>(J56/C56)-1</f>
        <v>0.24832673944730321</v>
      </c>
      <c r="L56">
        <f>MAX($D$4:D56)</f>
        <v>234.86</v>
      </c>
      <c r="M56" s="18">
        <f>(L56/D56)-1</f>
        <v>0.82770428015564224</v>
      </c>
    </row>
    <row r="57" spans="1:13" ht="15.5" x14ac:dyDescent="0.35">
      <c r="A57" s="54">
        <v>45983</v>
      </c>
      <c r="B57" s="21">
        <v>84648.36</v>
      </c>
      <c r="C57" s="15">
        <v>369.13</v>
      </c>
      <c r="D57" s="15">
        <v>127.55</v>
      </c>
      <c r="E57" s="22">
        <f t="shared" si="1"/>
        <v>-5.1983360341771867E-3</v>
      </c>
      <c r="F57" s="22">
        <f t="shared" si="2"/>
        <v>9.8045631674450462E-2</v>
      </c>
      <c r="G57" s="22">
        <f t="shared" si="3"/>
        <v>-7.3929961089493901E-3</v>
      </c>
      <c r="H57" s="20">
        <f>MAX($B$4:B57)</f>
        <v>124752.53</v>
      </c>
      <c r="I57" s="18">
        <f t="shared" si="0"/>
        <v>0.47377373879423068</v>
      </c>
      <c r="J57" s="19">
        <f>MAX($C$4:C57)</f>
        <v>419.65</v>
      </c>
      <c r="K57" s="18">
        <f>(J57/C57)-1</f>
        <v>0.13686235201690455</v>
      </c>
      <c r="L57">
        <f>MAX($D$4:D57)</f>
        <v>234.86</v>
      </c>
      <c r="M57" s="18">
        <f>(L57/D57)-1</f>
        <v>0.84131713053704438</v>
      </c>
    </row>
    <row r="58" spans="1:13" ht="15.5" x14ac:dyDescent="0.35">
      <c r="A58" s="54">
        <v>45984</v>
      </c>
      <c r="B58" s="21">
        <v>86805.01</v>
      </c>
      <c r="C58" s="15">
        <v>389.4</v>
      </c>
      <c r="D58" s="15">
        <v>130.71</v>
      </c>
      <c r="E58" s="22">
        <f t="shared" si="1"/>
        <v>2.54777529062582E-2</v>
      </c>
      <c r="F58" s="22">
        <f t="shared" si="2"/>
        <v>5.4912903313195871E-2</v>
      </c>
      <c r="G58" s="22">
        <f t="shared" si="3"/>
        <v>2.4774598196785735E-2</v>
      </c>
      <c r="H58" s="20">
        <f>MAX($B$4:B58)</f>
        <v>124752.53</v>
      </c>
      <c r="I58" s="18">
        <f t="shared" si="0"/>
        <v>0.43715817785171618</v>
      </c>
      <c r="J58" s="19">
        <f>MAX($C$4:C58)</f>
        <v>419.65</v>
      </c>
      <c r="K58" s="18">
        <f>(J58/C58)-1</f>
        <v>7.7683615819209129E-2</v>
      </c>
      <c r="L58">
        <f>MAX($D$4:D58)</f>
        <v>234.86</v>
      </c>
      <c r="M58" s="18">
        <f>(L58/D58)-1</f>
        <v>0.79680208094254446</v>
      </c>
    </row>
    <row r="59" spans="1:13" ht="15.5" x14ac:dyDescent="0.35">
      <c r="A59" s="54">
        <v>45985</v>
      </c>
      <c r="B59" s="21">
        <v>88270.56</v>
      </c>
      <c r="C59" s="15">
        <v>386.75</v>
      </c>
      <c r="D59" s="15">
        <v>138.37</v>
      </c>
      <c r="E59" s="22">
        <f t="shared" si="1"/>
        <v>1.6883242107800012E-2</v>
      </c>
      <c r="F59" s="22">
        <f t="shared" si="2"/>
        <v>-6.8053415511042381E-3</v>
      </c>
      <c r="G59" s="22">
        <f t="shared" si="3"/>
        <v>5.8603014306479961E-2</v>
      </c>
      <c r="H59" s="20">
        <f>MAX($B$4:B59)</f>
        <v>124752.53</v>
      </c>
      <c r="I59" s="18">
        <f t="shared" si="0"/>
        <v>0.41329714006572527</v>
      </c>
      <c r="J59" s="19">
        <f>MAX($C$4:C59)</f>
        <v>419.65</v>
      </c>
      <c r="K59" s="18">
        <f>(J59/C59)-1</f>
        <v>8.5067873303167341E-2</v>
      </c>
      <c r="L59">
        <f>MAX($D$4:D59)</f>
        <v>234.86</v>
      </c>
      <c r="M59" s="18">
        <f>(L59/D59)-1</f>
        <v>0.69733323697333249</v>
      </c>
    </row>
    <row r="60" spans="1:13" ht="15.5" x14ac:dyDescent="0.35">
      <c r="A60" s="54">
        <v>45986</v>
      </c>
      <c r="B60" s="21">
        <v>87341.89</v>
      </c>
      <c r="C60" s="15">
        <v>384.78</v>
      </c>
      <c r="D60" s="15">
        <v>138.88999999999999</v>
      </c>
      <c r="E60" s="22">
        <f t="shared" si="1"/>
        <v>-1.0520721744599726E-2</v>
      </c>
      <c r="F60" s="22">
        <f t="shared" si="2"/>
        <v>-5.0937297996122011E-3</v>
      </c>
      <c r="G60" s="22">
        <f t="shared" si="3"/>
        <v>3.7580400375802903E-3</v>
      </c>
      <c r="H60" s="20">
        <f>MAX($B$4:B60)</f>
        <v>124752.53</v>
      </c>
      <c r="I60" s="18">
        <f t="shared" si="0"/>
        <v>0.42832414091336934</v>
      </c>
      <c r="J60" s="19">
        <f>MAX($C$4:C60)</f>
        <v>419.65</v>
      </c>
      <c r="K60" s="18">
        <f>(J60/C60)-1</f>
        <v>9.0623213264722668E-2</v>
      </c>
      <c r="L60">
        <f>MAX($D$4:D60)</f>
        <v>234.86</v>
      </c>
      <c r="M60" s="18">
        <f>(L60/D60)-1</f>
        <v>0.69097847217222297</v>
      </c>
    </row>
    <row r="61" spans="1:13" ht="15.5" x14ac:dyDescent="0.35">
      <c r="A61" s="54">
        <v>45987</v>
      </c>
      <c r="B61" s="21">
        <v>90518.37</v>
      </c>
      <c r="C61" s="15">
        <v>398.26</v>
      </c>
      <c r="D61" s="15">
        <v>143.01</v>
      </c>
      <c r="E61" s="22">
        <f t="shared" si="1"/>
        <v>3.6368345131986501E-2</v>
      </c>
      <c r="F61" s="22">
        <f t="shared" si="2"/>
        <v>3.5033005873486234E-2</v>
      </c>
      <c r="G61" s="22">
        <f t="shared" si="3"/>
        <v>2.9663762689898565E-2</v>
      </c>
      <c r="H61" s="20">
        <f>MAX($B$4:B61)</f>
        <v>124752.53</v>
      </c>
      <c r="I61" s="18">
        <f t="shared" si="0"/>
        <v>0.37820124246603215</v>
      </c>
      <c r="J61" s="19">
        <f>MAX($C$4:C61)</f>
        <v>419.65</v>
      </c>
      <c r="K61" s="18">
        <f>(J61/C61)-1</f>
        <v>5.3708632551599411E-2</v>
      </c>
      <c r="L61">
        <f>MAX($D$4:D61)</f>
        <v>234.86</v>
      </c>
      <c r="M61" s="18">
        <f>(L61/D61)-1</f>
        <v>0.64226277882665572</v>
      </c>
    </row>
    <row r="62" spans="1:13" ht="15.5" x14ac:dyDescent="0.35">
      <c r="A62" s="54">
        <v>45988</v>
      </c>
      <c r="B62" s="21">
        <v>91285.37</v>
      </c>
      <c r="C62" s="15">
        <v>409.52</v>
      </c>
      <c r="D62" s="15">
        <v>140.85</v>
      </c>
      <c r="E62" s="22">
        <f t="shared" si="1"/>
        <v>8.4734181581043178E-3</v>
      </c>
      <c r="F62" s="22">
        <f t="shared" si="2"/>
        <v>2.8272987495605806E-2</v>
      </c>
      <c r="G62" s="22">
        <f t="shared" si="3"/>
        <v>-1.5103838892385091E-2</v>
      </c>
      <c r="H62" s="20">
        <f>MAX($B$4:B62)</f>
        <v>124752.53</v>
      </c>
      <c r="I62" s="18">
        <f t="shared" si="0"/>
        <v>0.36662128882207523</v>
      </c>
      <c r="J62" s="19">
        <f>MAX($C$4:C62)</f>
        <v>419.65</v>
      </c>
      <c r="K62" s="18">
        <f>(J62/C62)-1</f>
        <v>2.4736276616526665E-2</v>
      </c>
      <c r="L62">
        <f>MAX($D$4:D62)</f>
        <v>234.86</v>
      </c>
      <c r="M62" s="18">
        <f>(L62/D62)-1</f>
        <v>0.66744763933262363</v>
      </c>
    </row>
    <row r="63" spans="1:13" ht="15.5" x14ac:dyDescent="0.35">
      <c r="A63" s="54">
        <v>45989</v>
      </c>
      <c r="B63" s="21">
        <v>90919.27</v>
      </c>
      <c r="C63" s="15">
        <v>411.21</v>
      </c>
      <c r="D63" s="15">
        <v>137.38999999999999</v>
      </c>
      <c r="E63" s="22">
        <f t="shared" si="1"/>
        <v>-4.0105002586942051E-3</v>
      </c>
      <c r="F63" s="22">
        <f t="shared" si="2"/>
        <v>4.1267825747215436E-3</v>
      </c>
      <c r="G63" s="22">
        <f t="shared" si="3"/>
        <v>-2.4565140220092374E-2</v>
      </c>
      <c r="H63" s="20">
        <f>MAX($B$4:B63)</f>
        <v>124752.53</v>
      </c>
      <c r="I63" s="18">
        <f t="shared" si="0"/>
        <v>0.3721241932540813</v>
      </c>
      <c r="J63" s="19">
        <f>MAX($C$4:C63)</f>
        <v>419.65</v>
      </c>
      <c r="K63" s="18">
        <f>(J63/C63)-1</f>
        <v>2.0524792685002735E-2</v>
      </c>
      <c r="L63">
        <f>MAX($D$4:D63)</f>
        <v>234.86</v>
      </c>
      <c r="M63" s="18">
        <f>(L63/D63)-1</f>
        <v>0.7094402794963246</v>
      </c>
    </row>
    <row r="64" spans="1:13" ht="15.5" x14ac:dyDescent="0.35">
      <c r="A64" s="54">
        <v>45990</v>
      </c>
      <c r="B64" s="21">
        <v>90851.75</v>
      </c>
      <c r="C64" s="15">
        <v>413.43</v>
      </c>
      <c r="D64" s="15">
        <v>136.08000000000001</v>
      </c>
      <c r="E64" s="22">
        <f t="shared" si="1"/>
        <v>-7.4263684695230481E-4</v>
      </c>
      <c r="F64" s="22">
        <f t="shared" si="2"/>
        <v>5.3987013934486683E-3</v>
      </c>
      <c r="G64" s="22">
        <f t="shared" si="3"/>
        <v>-9.5349006477907228E-3</v>
      </c>
      <c r="H64" s="20">
        <f>MAX($B$4:B64)</f>
        <v>124752.53</v>
      </c>
      <c r="I64" s="18">
        <f t="shared" si="0"/>
        <v>0.37314394054049593</v>
      </c>
      <c r="J64" s="19">
        <f>MAX($C$4:C64)</f>
        <v>419.65</v>
      </c>
      <c r="K64" s="18">
        <f>(J64/C64)-1</f>
        <v>1.5044868538809375E-2</v>
      </c>
      <c r="L64">
        <f>MAX($D$4:D64)</f>
        <v>234.86</v>
      </c>
      <c r="M64" s="18">
        <f>(L64/D64)-1</f>
        <v>0.72589653145208688</v>
      </c>
    </row>
    <row r="65" spans="1:13" ht="15.5" x14ac:dyDescent="0.35">
      <c r="A65" s="54">
        <v>45991</v>
      </c>
      <c r="B65" s="21">
        <v>90394.31</v>
      </c>
      <c r="C65" s="15">
        <v>436.3</v>
      </c>
      <c r="D65" s="15">
        <v>133.56</v>
      </c>
      <c r="E65" s="22">
        <f t="shared" si="1"/>
        <v>-5.0350158362387765E-3</v>
      </c>
      <c r="F65" s="22">
        <f t="shared" si="2"/>
        <v>5.5317707955397477E-2</v>
      </c>
      <c r="G65" s="22">
        <f t="shared" si="3"/>
        <v>-1.8518518518518601E-2</v>
      </c>
      <c r="H65" s="20">
        <f>MAX($B$4:B65)</f>
        <v>124752.53</v>
      </c>
      <c r="I65" s="18">
        <f t="shared" si="0"/>
        <v>0.38009272928793858</v>
      </c>
      <c r="J65" s="19">
        <f>MAX($C$4:C65)</f>
        <v>436.3</v>
      </c>
      <c r="K65" s="18">
        <f>(J65/C65)-1</f>
        <v>0</v>
      </c>
      <c r="L65">
        <f>MAX($D$4:D65)</f>
        <v>234.86</v>
      </c>
      <c r="M65" s="18">
        <f>(L65/D65)-1</f>
        <v>0.75846061695118316</v>
      </c>
    </row>
    <row r="66" spans="1:13" ht="15.5" x14ac:dyDescent="0.35">
      <c r="A66" s="54">
        <v>45992</v>
      </c>
      <c r="B66" s="21">
        <v>86321.57</v>
      </c>
      <c r="C66" s="15">
        <v>405.84</v>
      </c>
      <c r="D66" s="15">
        <v>126.71</v>
      </c>
      <c r="E66" s="22">
        <f t="shared" si="1"/>
        <v>-4.5055269518623375E-2</v>
      </c>
      <c r="F66" s="22">
        <f t="shared" si="2"/>
        <v>-6.9814347925739262E-2</v>
      </c>
      <c r="G66" s="22">
        <f t="shared" si="3"/>
        <v>-5.1287810721773019E-2</v>
      </c>
      <c r="H66" s="20">
        <f>MAX($B$4:B66)</f>
        <v>124752.53</v>
      </c>
      <c r="I66" s="18">
        <f t="shared" si="0"/>
        <v>0.44520691641729848</v>
      </c>
      <c r="J66" s="19">
        <f>MAX($C$4:C66)</f>
        <v>436.3</v>
      </c>
      <c r="K66" s="18">
        <f>(J66/C66)-1</f>
        <v>7.5054208555095592E-2</v>
      </c>
      <c r="L66">
        <f>MAX($D$4:D66)</f>
        <v>234.86</v>
      </c>
      <c r="M66" s="18">
        <f>(L66/D66)-1</f>
        <v>0.85352379449135851</v>
      </c>
    </row>
    <row r="67" spans="1:13" ht="15.5" x14ac:dyDescent="0.35">
      <c r="A67" s="54">
        <v>45993</v>
      </c>
      <c r="B67" s="21">
        <v>91350.21</v>
      </c>
      <c r="C67" s="15">
        <v>397.96</v>
      </c>
      <c r="D67" s="15">
        <v>138.66999999999999</v>
      </c>
      <c r="E67" s="22">
        <f t="shared" si="1"/>
        <v>5.8254732855299141E-2</v>
      </c>
      <c r="F67" s="22">
        <f t="shared" si="2"/>
        <v>-1.9416518825152718E-2</v>
      </c>
      <c r="G67" s="22">
        <f t="shared" si="3"/>
        <v>9.4388761739404803E-2</v>
      </c>
      <c r="H67" s="20">
        <f>MAX($B$4:B67)</f>
        <v>124752.53</v>
      </c>
      <c r="I67" s="18">
        <f t="shared" si="0"/>
        <v>0.36565126670206882</v>
      </c>
      <c r="J67" s="19">
        <f>MAX($C$4:C67)</f>
        <v>436.3</v>
      </c>
      <c r="K67" s="18">
        <f>(J67/C67)-1</f>
        <v>9.6341340838275391E-2</v>
      </c>
      <c r="L67">
        <f>MAX($D$4:D67)</f>
        <v>234.86</v>
      </c>
      <c r="M67" s="18">
        <f>(L67/D67)-1</f>
        <v>0.69366121006706605</v>
      </c>
    </row>
    <row r="68" spans="1:13" ht="15.5" x14ac:dyDescent="0.35">
      <c r="A68" s="54">
        <v>45994</v>
      </c>
      <c r="B68" s="21">
        <v>93527.8</v>
      </c>
      <c r="C68" s="15">
        <v>408.35</v>
      </c>
      <c r="D68" s="15">
        <v>144.9</v>
      </c>
      <c r="E68" s="22">
        <f t="shared" si="1"/>
        <v>2.3837821500355627E-2</v>
      </c>
      <c r="F68" s="22">
        <f t="shared" si="2"/>
        <v>2.6108151573022598E-2</v>
      </c>
      <c r="G68" s="22">
        <f t="shared" si="3"/>
        <v>4.4926804644119356E-2</v>
      </c>
      <c r="H68" s="20">
        <f>MAX($B$4:B68)</f>
        <v>124752.53</v>
      </c>
      <c r="I68" s="18">
        <f t="shared" si="0"/>
        <v>0.33385506769110362</v>
      </c>
      <c r="J68" s="19">
        <f>MAX($C$4:C68)</f>
        <v>436.3</v>
      </c>
      <c r="K68" s="18">
        <f>(J68/C68)-1</f>
        <v>6.8446185869964538E-2</v>
      </c>
      <c r="L68">
        <f>MAX($D$4:D68)</f>
        <v>234.86</v>
      </c>
      <c r="M68" s="18">
        <f>(L68/D68)-1</f>
        <v>0.62084195997239489</v>
      </c>
    </row>
    <row r="69" spans="1:13" ht="15.5" x14ac:dyDescent="0.35">
      <c r="A69" s="54">
        <v>45995</v>
      </c>
      <c r="B69" s="21">
        <v>92141.62</v>
      </c>
      <c r="C69" s="15">
        <v>402.64</v>
      </c>
      <c r="D69" s="15">
        <v>139.01</v>
      </c>
      <c r="E69" s="22">
        <f t="shared" si="1"/>
        <v>-1.4821047859566949E-2</v>
      </c>
      <c r="F69" s="22">
        <f t="shared" si="2"/>
        <v>-1.3983102730500852E-2</v>
      </c>
      <c r="G69" s="22">
        <f t="shared" si="3"/>
        <v>-4.0648723257418973E-2</v>
      </c>
      <c r="H69" s="20">
        <f>MAX($B$4:B69)</f>
        <v>124752.53</v>
      </c>
      <c r="I69" s="18">
        <f t="shared" ref="I69:I132" si="4">(H69/B69)-1</f>
        <v>0.35392160459084621</v>
      </c>
      <c r="J69" s="19">
        <f>MAX($C$4:C69)</f>
        <v>436.3</v>
      </c>
      <c r="K69" s="18">
        <f>(J69/C69)-1</f>
        <v>8.3598251539837243E-2</v>
      </c>
      <c r="L69">
        <f>MAX($D$4:D69)</f>
        <v>234.86</v>
      </c>
      <c r="M69" s="18">
        <f>(L69/D69)-1</f>
        <v>0.68951873965901744</v>
      </c>
    </row>
    <row r="70" spans="1:13" ht="15.5" x14ac:dyDescent="0.35">
      <c r="A70" s="54">
        <v>45996</v>
      </c>
      <c r="B70" s="21">
        <v>89387.75</v>
      </c>
      <c r="C70" s="15">
        <v>399.56</v>
      </c>
      <c r="D70" s="15">
        <v>133.32</v>
      </c>
      <c r="E70" s="22">
        <f t="shared" ref="E70:E133" si="5">(B70/B69)-1</f>
        <v>-2.9887362518696725E-2</v>
      </c>
      <c r="F70" s="22">
        <f t="shared" ref="F70:F133" si="6">(C70/C69)-1</f>
        <v>-7.6495132127955001E-3</v>
      </c>
      <c r="G70" s="22">
        <f t="shared" ref="G70:G133" si="7">(D70/D69)-1</f>
        <v>-4.0932307028271331E-2</v>
      </c>
      <c r="H70" s="20">
        <f>MAX($B$4:B70)</f>
        <v>124752.53</v>
      </c>
      <c r="I70" s="18">
        <f t="shared" si="4"/>
        <v>0.39563340614345921</v>
      </c>
      <c r="J70" s="19">
        <f>MAX($C$4:C70)</f>
        <v>436.3</v>
      </c>
      <c r="K70" s="18">
        <f>(J70/C70)-1</f>
        <v>9.1951146260887073E-2</v>
      </c>
      <c r="L70">
        <f>MAX($D$4:D70)</f>
        <v>234.86</v>
      </c>
      <c r="M70" s="18">
        <f>(L70/D70)-1</f>
        <v>0.76162616261626193</v>
      </c>
    </row>
    <row r="71" spans="1:13" ht="15.5" x14ac:dyDescent="0.35">
      <c r="A71" s="54">
        <v>45997</v>
      </c>
      <c r="B71" s="21">
        <v>89272.37</v>
      </c>
      <c r="C71" s="15">
        <v>392.68</v>
      </c>
      <c r="D71" s="15">
        <v>132.35</v>
      </c>
      <c r="E71" s="22">
        <f t="shared" si="5"/>
        <v>-1.2907808955925359E-3</v>
      </c>
      <c r="F71" s="22">
        <f t="shared" si="6"/>
        <v>-1.7218940834918373E-2</v>
      </c>
      <c r="G71" s="22">
        <f t="shared" si="7"/>
        <v>-7.2757275727572956E-3</v>
      </c>
      <c r="H71" s="20">
        <f>MAX($B$4:B71)</f>
        <v>124752.53</v>
      </c>
      <c r="I71" s="18">
        <f t="shared" si="4"/>
        <v>0.39743719137287381</v>
      </c>
      <c r="J71" s="19">
        <f>MAX($C$4:C71)</f>
        <v>436.3</v>
      </c>
      <c r="K71" s="18">
        <f>(J71/C71)-1</f>
        <v>0.11108281552409083</v>
      </c>
      <c r="L71">
        <f>MAX($D$4:D71)</f>
        <v>234.86</v>
      </c>
      <c r="M71" s="18">
        <f>(L71/D71)-1</f>
        <v>0.77453721193804315</v>
      </c>
    </row>
    <row r="72" spans="1:13" ht="15.5" x14ac:dyDescent="0.35">
      <c r="A72" s="54">
        <v>45998</v>
      </c>
      <c r="B72" s="21">
        <v>90405.64</v>
      </c>
      <c r="C72" s="15">
        <v>362.62</v>
      </c>
      <c r="D72" s="15">
        <v>132.09</v>
      </c>
      <c r="E72" s="22">
        <f t="shared" si="5"/>
        <v>1.2694521272371251E-2</v>
      </c>
      <c r="F72" s="22">
        <f t="shared" si="6"/>
        <v>-7.6550881124579861E-2</v>
      </c>
      <c r="G72" s="22">
        <f t="shared" si="7"/>
        <v>-1.9644880997354841E-3</v>
      </c>
      <c r="H72" s="20">
        <f>MAX($B$4:B72)</f>
        <v>124752.53</v>
      </c>
      <c r="I72" s="18">
        <f t="shared" si="4"/>
        <v>0.37991977049219505</v>
      </c>
      <c r="J72" s="19">
        <f>MAX($C$4:C72)</f>
        <v>436.3</v>
      </c>
      <c r="K72" s="18">
        <f>(J72/C72)-1</f>
        <v>0.20318791020903437</v>
      </c>
      <c r="L72">
        <f>MAX($D$4:D72)</f>
        <v>234.86</v>
      </c>
      <c r="M72" s="18">
        <f>(L72/D72)-1</f>
        <v>0.77803013097130758</v>
      </c>
    </row>
    <row r="73" spans="1:13" ht="15.5" x14ac:dyDescent="0.35">
      <c r="A73" s="54">
        <v>45999</v>
      </c>
      <c r="B73" s="21">
        <v>90640.21</v>
      </c>
      <c r="C73" s="15">
        <v>374.23</v>
      </c>
      <c r="D73" s="15">
        <v>133.28</v>
      </c>
      <c r="E73" s="22">
        <f t="shared" si="5"/>
        <v>2.594639007035493E-3</v>
      </c>
      <c r="F73" s="22">
        <f t="shared" si="6"/>
        <v>3.2016987480006698E-2</v>
      </c>
      <c r="G73" s="22">
        <f t="shared" si="7"/>
        <v>9.009009009008917E-3</v>
      </c>
      <c r="H73" s="20">
        <f>MAX($B$4:B73)</f>
        <v>124752.53</v>
      </c>
      <c r="I73" s="18">
        <f t="shared" si="4"/>
        <v>0.37634864261678103</v>
      </c>
      <c r="J73" s="19">
        <f>MAX($C$4:C73)</f>
        <v>436.3</v>
      </c>
      <c r="K73" s="18">
        <f>(J73/C73)-1</f>
        <v>0.1658605670309703</v>
      </c>
      <c r="L73">
        <f>MAX($D$4:D73)</f>
        <v>234.86</v>
      </c>
      <c r="M73" s="18">
        <f>(L73/D73)-1</f>
        <v>0.76215486194477799</v>
      </c>
    </row>
    <row r="74" spans="1:13" ht="15.5" x14ac:dyDescent="0.35">
      <c r="A74" s="54">
        <v>46000</v>
      </c>
      <c r="B74" s="21">
        <v>92691.71</v>
      </c>
      <c r="C74" s="15">
        <v>387.95</v>
      </c>
      <c r="D74" s="15">
        <v>137.9</v>
      </c>
      <c r="E74" s="22">
        <f t="shared" si="5"/>
        <v>2.2633442707160611E-2</v>
      </c>
      <c r="F74" s="22">
        <f t="shared" si="6"/>
        <v>3.6661945862170198E-2</v>
      </c>
      <c r="G74" s="22">
        <f t="shared" si="7"/>
        <v>3.4663865546218586E-2</v>
      </c>
      <c r="H74" s="20">
        <f>MAX($B$4:B74)</f>
        <v>124752.53</v>
      </c>
      <c r="I74" s="18">
        <f t="shared" si="4"/>
        <v>0.34588659546792244</v>
      </c>
      <c r="J74" s="19">
        <f>MAX($C$4:C74)</f>
        <v>436.3</v>
      </c>
      <c r="K74" s="18">
        <f>(J74/C74)-1</f>
        <v>0.12462946255960827</v>
      </c>
      <c r="L74">
        <f>MAX($D$4:D74)</f>
        <v>234.86</v>
      </c>
      <c r="M74" s="18">
        <f>(L74/D74)-1</f>
        <v>0.70311820159535898</v>
      </c>
    </row>
    <row r="75" spans="1:13" ht="15.5" x14ac:dyDescent="0.35">
      <c r="A75" s="54">
        <v>46001</v>
      </c>
      <c r="B75" s="21">
        <v>92020.95</v>
      </c>
      <c r="C75" s="15">
        <v>401.12</v>
      </c>
      <c r="D75" s="15">
        <v>136.47</v>
      </c>
      <c r="E75" s="22">
        <f t="shared" si="5"/>
        <v>-7.2364615994247039E-3</v>
      </c>
      <c r="F75" s="22">
        <f t="shared" si="6"/>
        <v>3.3947673669287415E-2</v>
      </c>
      <c r="G75" s="22">
        <f t="shared" si="7"/>
        <v>-1.0369833212472868E-2</v>
      </c>
      <c r="H75" s="20">
        <f>MAX($B$4:B75)</f>
        <v>124752.53</v>
      </c>
      <c r="I75" s="18">
        <f t="shared" si="4"/>
        <v>0.35569704507506184</v>
      </c>
      <c r="J75" s="19">
        <f>MAX($C$4:C75)</f>
        <v>436.3</v>
      </c>
      <c r="K75" s="18">
        <f>(J75/C75)-1</f>
        <v>8.7704427602712354E-2</v>
      </c>
      <c r="L75">
        <f>MAX($D$4:D75)</f>
        <v>234.86</v>
      </c>
      <c r="M75" s="18">
        <f>(L75/D75)-1</f>
        <v>0.72096431450135579</v>
      </c>
    </row>
    <row r="76" spans="1:13" ht="15.5" x14ac:dyDescent="0.35">
      <c r="A76" s="54">
        <v>46002</v>
      </c>
      <c r="B76" s="21">
        <v>92511.34</v>
      </c>
      <c r="C76" s="15">
        <v>407.26</v>
      </c>
      <c r="D76" s="15">
        <v>136.37</v>
      </c>
      <c r="E76" s="22">
        <f t="shared" si="5"/>
        <v>5.3291125553474039E-3</v>
      </c>
      <c r="F76" s="22">
        <f t="shared" si="6"/>
        <v>1.5307140007977615E-2</v>
      </c>
      <c r="G76" s="22">
        <f t="shared" si="7"/>
        <v>-7.3276177914560758E-4</v>
      </c>
      <c r="H76" s="20">
        <f>MAX($B$4:B76)</f>
        <v>124752.53</v>
      </c>
      <c r="I76" s="18">
        <f t="shared" si="4"/>
        <v>0.34851067987989359</v>
      </c>
      <c r="J76" s="19">
        <f>MAX($C$4:C76)</f>
        <v>436.3</v>
      </c>
      <c r="K76" s="18">
        <f>(J76/C76)-1</f>
        <v>7.1305799734813213E-2</v>
      </c>
      <c r="L76">
        <f>MAX($D$4:D76)</f>
        <v>234.86</v>
      </c>
      <c r="M76" s="18">
        <f>(L76/D76)-1</f>
        <v>0.72222629610618183</v>
      </c>
    </row>
    <row r="77" spans="1:13" ht="15.5" x14ac:dyDescent="0.35">
      <c r="A77" s="54">
        <v>46003</v>
      </c>
      <c r="B77" s="21">
        <v>90270.41</v>
      </c>
      <c r="C77" s="15">
        <v>405.63</v>
      </c>
      <c r="D77" s="15">
        <v>132.32</v>
      </c>
      <c r="E77" s="22">
        <f t="shared" si="5"/>
        <v>-2.4223300624550359E-2</v>
      </c>
      <c r="F77" s="22">
        <f t="shared" si="6"/>
        <v>-4.0023572165202026E-3</v>
      </c>
      <c r="G77" s="22">
        <f t="shared" si="7"/>
        <v>-2.9698614064677109E-2</v>
      </c>
      <c r="H77" s="20">
        <f>MAX($B$4:B77)</f>
        <v>124752.53</v>
      </c>
      <c r="I77" s="18">
        <f t="shared" si="4"/>
        <v>0.38198696560700229</v>
      </c>
      <c r="J77" s="19">
        <f>MAX($C$4:C77)</f>
        <v>436.3</v>
      </c>
      <c r="K77" s="18">
        <f>(J77/C77)-1</f>
        <v>7.5610778295490899E-2</v>
      </c>
      <c r="L77">
        <f>MAX($D$4:D77)</f>
        <v>234.86</v>
      </c>
      <c r="M77" s="18">
        <f>(L77/D77)-1</f>
        <v>0.77493954050785985</v>
      </c>
    </row>
    <row r="78" spans="1:13" ht="15.5" x14ac:dyDescent="0.35">
      <c r="A78" s="54">
        <v>46004</v>
      </c>
      <c r="B78" s="21">
        <v>90298.71</v>
      </c>
      <c r="C78" s="15">
        <v>414.14</v>
      </c>
      <c r="D78" s="15">
        <v>133.25</v>
      </c>
      <c r="E78" s="22">
        <f t="shared" si="5"/>
        <v>3.1350250874018215E-4</v>
      </c>
      <c r="F78" s="22">
        <f t="shared" si="6"/>
        <v>2.0979710573675536E-2</v>
      </c>
      <c r="G78" s="22">
        <f t="shared" si="7"/>
        <v>7.0284159613058783E-3</v>
      </c>
      <c r="H78" s="20">
        <f>MAX($B$4:B78)</f>
        <v>124752.53</v>
      </c>
      <c r="I78" s="18">
        <f t="shared" si="4"/>
        <v>0.38155384501063172</v>
      </c>
      <c r="J78" s="19">
        <f>MAX($C$4:C78)</f>
        <v>436.3</v>
      </c>
      <c r="K78" s="18">
        <f>(J78/C78)-1</f>
        <v>5.3508475394794086E-2</v>
      </c>
      <c r="L78">
        <f>MAX($D$4:D78)</f>
        <v>234.86</v>
      </c>
      <c r="M78" s="18">
        <f>(L78/D78)-1</f>
        <v>0.76255159474671674</v>
      </c>
    </row>
    <row r="79" spans="1:13" ht="15.5" x14ac:dyDescent="0.35">
      <c r="A79" s="54">
        <v>46005</v>
      </c>
      <c r="B79" s="21">
        <v>88175.18</v>
      </c>
      <c r="C79" s="15">
        <v>409.3</v>
      </c>
      <c r="D79" s="15">
        <v>129.47999999999999</v>
      </c>
      <c r="E79" s="22">
        <f t="shared" si="5"/>
        <v>-2.3516725764963997E-2</v>
      </c>
      <c r="F79" s="22">
        <f t="shared" si="6"/>
        <v>-1.1686869174675207E-2</v>
      </c>
      <c r="G79" s="22">
        <f t="shared" si="7"/>
        <v>-2.8292682926829293E-2</v>
      </c>
      <c r="H79" s="20">
        <f>MAX($B$4:B79)</f>
        <v>124752.53</v>
      </c>
      <c r="I79" s="18">
        <f t="shared" si="4"/>
        <v>0.41482591813251757</v>
      </c>
      <c r="J79" s="19">
        <f>MAX($C$4:C79)</f>
        <v>436.3</v>
      </c>
      <c r="K79" s="18">
        <f>(J79/C79)-1</f>
        <v>6.5966283899340228E-2</v>
      </c>
      <c r="L79">
        <f>MAX($D$4:D79)</f>
        <v>234.86</v>
      </c>
      <c r="M79" s="18">
        <f>(L79/D79)-1</f>
        <v>0.81387086808773579</v>
      </c>
    </row>
    <row r="80" spans="1:13" ht="15.5" x14ac:dyDescent="0.35">
      <c r="A80" s="54">
        <v>46006</v>
      </c>
      <c r="B80" s="21">
        <v>86419.78</v>
      </c>
      <c r="C80" s="15">
        <v>409.75</v>
      </c>
      <c r="D80" s="15">
        <v>127.76</v>
      </c>
      <c r="E80" s="22">
        <f t="shared" si="5"/>
        <v>-1.9908096586817248E-2</v>
      </c>
      <c r="F80" s="22">
        <f t="shared" si="6"/>
        <v>1.0994380649889113E-3</v>
      </c>
      <c r="G80" s="22">
        <f t="shared" si="7"/>
        <v>-1.3283904850169836E-2</v>
      </c>
      <c r="H80" s="20">
        <f>MAX($B$4:B80)</f>
        <v>124752.53</v>
      </c>
      <c r="I80" s="18">
        <f t="shared" si="4"/>
        <v>0.4435645404327575</v>
      </c>
      <c r="J80" s="19">
        <f>MAX($C$4:C80)</f>
        <v>436.3</v>
      </c>
      <c r="K80" s="18">
        <f>(J80/C80)-1</f>
        <v>6.4795607077486217E-2</v>
      </c>
      <c r="L80">
        <f>MAX($D$4:D80)</f>
        <v>234.86</v>
      </c>
      <c r="M80" s="18">
        <f>(L80/D80)-1</f>
        <v>0.8382905447714466</v>
      </c>
    </row>
    <row r="81" spans="1:13" ht="15.5" x14ac:dyDescent="0.35">
      <c r="A81" s="54">
        <v>46007</v>
      </c>
      <c r="B81" s="21">
        <v>87843.99</v>
      </c>
      <c r="C81" s="15">
        <v>428.62</v>
      </c>
      <c r="D81" s="15">
        <v>129.25</v>
      </c>
      <c r="E81" s="22">
        <f t="shared" si="5"/>
        <v>1.6480139153328244E-2</v>
      </c>
      <c r="F81" s="22">
        <f t="shared" si="6"/>
        <v>4.6052471018914076E-2</v>
      </c>
      <c r="G81" s="22">
        <f t="shared" si="7"/>
        <v>1.1662492172824113E-2</v>
      </c>
      <c r="H81" s="20">
        <f>MAX($B$4:B81)</f>
        <v>124752.53</v>
      </c>
      <c r="I81" s="18">
        <f t="shared" si="4"/>
        <v>0.42016010429398754</v>
      </c>
      <c r="J81" s="19">
        <f>MAX($C$4:C81)</f>
        <v>436.3</v>
      </c>
      <c r="K81" s="18">
        <f>(J81/C81)-1</f>
        <v>1.7917969296812997E-2</v>
      </c>
      <c r="L81">
        <f>MAX($D$4:D81)</f>
        <v>234.86</v>
      </c>
      <c r="M81" s="18">
        <f>(L81/D81)-1</f>
        <v>0.81709864603481641</v>
      </c>
    </row>
    <row r="82" spans="1:13" ht="15.5" x14ac:dyDescent="0.35">
      <c r="A82" s="54">
        <v>46008</v>
      </c>
      <c r="B82" s="21">
        <v>86143.76</v>
      </c>
      <c r="C82" s="15">
        <v>417.7</v>
      </c>
      <c r="D82" s="15">
        <v>123.12</v>
      </c>
      <c r="E82" s="22">
        <f t="shared" si="5"/>
        <v>-1.9355108983551528E-2</v>
      </c>
      <c r="F82" s="22">
        <f t="shared" si="6"/>
        <v>-2.5477112593906059E-2</v>
      </c>
      <c r="G82" s="22">
        <f t="shared" si="7"/>
        <v>-4.7427466150870345E-2</v>
      </c>
      <c r="H82" s="20">
        <f>MAX($B$4:B82)</f>
        <v>124752.53</v>
      </c>
      <c r="I82" s="18">
        <f t="shared" si="4"/>
        <v>0.44818997916970438</v>
      </c>
      <c r="J82" s="19">
        <f>MAX($C$4:C82)</f>
        <v>436.3</v>
      </c>
      <c r="K82" s="18">
        <f>(J82/C82)-1</f>
        <v>4.4529566674647025E-2</v>
      </c>
      <c r="L82">
        <f>MAX($D$4:D82)</f>
        <v>234.86</v>
      </c>
      <c r="M82" s="18">
        <f>(L82/D82)-1</f>
        <v>0.90756985055230666</v>
      </c>
    </row>
    <row r="83" spans="1:13" ht="15.5" x14ac:dyDescent="0.35">
      <c r="A83" s="54">
        <v>46009</v>
      </c>
      <c r="B83" s="21">
        <v>85462.51</v>
      </c>
      <c r="C83" s="15">
        <v>415.19</v>
      </c>
      <c r="D83" s="15">
        <v>119.57</v>
      </c>
      <c r="E83" s="22">
        <f t="shared" si="5"/>
        <v>-7.9082919064595858E-3</v>
      </c>
      <c r="F83" s="22">
        <f t="shared" si="6"/>
        <v>-6.0090974383528728E-3</v>
      </c>
      <c r="G83" s="22">
        <f t="shared" si="7"/>
        <v>-2.8833658219623248E-2</v>
      </c>
      <c r="H83" s="20">
        <f>MAX($B$4:B83)</f>
        <v>124752.53</v>
      </c>
      <c r="I83" s="18">
        <f t="shared" si="4"/>
        <v>0.45973398160199141</v>
      </c>
      <c r="J83" s="19">
        <f>MAX($C$4:C83)</f>
        <v>436.3</v>
      </c>
      <c r="K83" s="18">
        <f>(J83/C83)-1</f>
        <v>5.0844191815795137E-2</v>
      </c>
      <c r="L83">
        <f>MAX($D$4:D83)</f>
        <v>234.86</v>
      </c>
      <c r="M83" s="18">
        <f>(L83/D83)-1</f>
        <v>0.96420506816091023</v>
      </c>
    </row>
    <row r="84" spans="1:13" ht="15.5" x14ac:dyDescent="0.35">
      <c r="A84" s="54">
        <v>46010</v>
      </c>
      <c r="B84" s="21">
        <v>88103.38</v>
      </c>
      <c r="C84" s="15">
        <v>441.56</v>
      </c>
      <c r="D84" s="15">
        <v>126.19</v>
      </c>
      <c r="E84" s="22">
        <f t="shared" si="5"/>
        <v>3.090091784105109E-2</v>
      </c>
      <c r="F84" s="22">
        <f t="shared" si="6"/>
        <v>6.3513090392350424E-2</v>
      </c>
      <c r="G84" s="22">
        <f t="shared" si="7"/>
        <v>5.5365058124947852E-2</v>
      </c>
      <c r="H84" s="20">
        <f>MAX($B$4:B84)</f>
        <v>124752.53</v>
      </c>
      <c r="I84" s="18">
        <f t="shared" si="4"/>
        <v>0.41597893293083632</v>
      </c>
      <c r="J84" s="19">
        <f>MAX($C$4:C84)</f>
        <v>441.56</v>
      </c>
      <c r="K84" s="18">
        <f>(J84/C84)-1</f>
        <v>0</v>
      </c>
      <c r="L84">
        <f>MAX($D$4:D84)</f>
        <v>234.86</v>
      </c>
      <c r="M84" s="18">
        <f>(L84/D84)-1</f>
        <v>0.86116174023298209</v>
      </c>
    </row>
    <row r="85" spans="1:13" ht="15.5" x14ac:dyDescent="0.35">
      <c r="A85" s="54">
        <v>46011</v>
      </c>
      <c r="B85" s="21">
        <v>88344</v>
      </c>
      <c r="C85" s="15">
        <v>476.67</v>
      </c>
      <c r="D85" s="15">
        <v>125.81</v>
      </c>
      <c r="E85" s="22">
        <f t="shared" si="5"/>
        <v>2.7311097485702707E-3</v>
      </c>
      <c r="F85" s="22">
        <f t="shared" si="6"/>
        <v>7.9513542893377975E-2</v>
      </c>
      <c r="G85" s="22">
        <f t="shared" si="7"/>
        <v>-3.0113321182343444E-3</v>
      </c>
      <c r="H85" s="20">
        <f>MAX($B$4:B85)</f>
        <v>124752.53</v>
      </c>
      <c r="I85" s="18">
        <f t="shared" si="4"/>
        <v>0.41212227202752882</v>
      </c>
      <c r="J85" s="19">
        <f>MAX($C$4:C85)</f>
        <v>476.67</v>
      </c>
      <c r="K85" s="18">
        <f>(J85/C85)-1</f>
        <v>0</v>
      </c>
      <c r="L85">
        <f>MAX($D$4:D85)</f>
        <v>234.86</v>
      </c>
      <c r="M85" s="18">
        <f>(L85/D85)-1</f>
        <v>0.8667832445751531</v>
      </c>
    </row>
    <row r="86" spans="1:13" ht="15.5" x14ac:dyDescent="0.35">
      <c r="A86" s="54">
        <v>46012</v>
      </c>
      <c r="B86" s="21">
        <v>88621.75</v>
      </c>
      <c r="C86" s="15">
        <v>471.46</v>
      </c>
      <c r="D86" s="15">
        <v>125.99</v>
      </c>
      <c r="E86" s="22">
        <f t="shared" si="5"/>
        <v>3.1439599746445612E-3</v>
      </c>
      <c r="F86" s="22">
        <f t="shared" si="6"/>
        <v>-1.0929993496549106E-2</v>
      </c>
      <c r="G86" s="22">
        <f t="shared" si="7"/>
        <v>1.4307288768777848E-3</v>
      </c>
      <c r="H86" s="20">
        <f>MAX($B$4:B86)</f>
        <v>124752.53</v>
      </c>
      <c r="I86" s="18">
        <f t="shared" si="4"/>
        <v>0.40769653047925591</v>
      </c>
      <c r="J86" s="19">
        <f>MAX($C$4:C86)</f>
        <v>476.67</v>
      </c>
      <c r="K86" s="18">
        <f>(J86/C86)-1</f>
        <v>1.105077843295299E-2</v>
      </c>
      <c r="L86">
        <f>MAX($D$4:D86)</f>
        <v>234.86</v>
      </c>
      <c r="M86" s="18">
        <f>(L86/D86)-1</f>
        <v>0.86411619969838904</v>
      </c>
    </row>
    <row r="87" spans="1:13" ht="15.5" x14ac:dyDescent="0.35">
      <c r="A87" s="54">
        <v>46013</v>
      </c>
      <c r="B87" s="21">
        <v>88490.02</v>
      </c>
      <c r="C87" s="15">
        <v>463.15</v>
      </c>
      <c r="D87" s="15">
        <v>125.8</v>
      </c>
      <c r="E87" s="22">
        <f t="shared" si="5"/>
        <v>-1.4864296857147741E-3</v>
      </c>
      <c r="F87" s="22">
        <f t="shared" si="6"/>
        <v>-1.762609765409584E-2</v>
      </c>
      <c r="G87" s="22">
        <f t="shared" si="7"/>
        <v>-1.5080561949361027E-3</v>
      </c>
      <c r="H87" s="20">
        <f>MAX($B$4:B87)</f>
        <v>124752.53</v>
      </c>
      <c r="I87" s="18">
        <f t="shared" si="4"/>
        <v>0.40979208728848726</v>
      </c>
      <c r="J87" s="19">
        <f>MAX($C$4:C87)</f>
        <v>476.67</v>
      </c>
      <c r="K87" s="18">
        <f>(J87/C87)-1</f>
        <v>2.9191406671704723E-2</v>
      </c>
      <c r="L87">
        <f>MAX($D$4:D87)</f>
        <v>234.86</v>
      </c>
      <c r="M87" s="18">
        <f>(L87/D87)-1</f>
        <v>0.86693163751987301</v>
      </c>
    </row>
    <row r="88" spans="1:13" ht="15.5" x14ac:dyDescent="0.35">
      <c r="A88" s="54">
        <v>46014</v>
      </c>
      <c r="B88" s="21">
        <v>87414</v>
      </c>
      <c r="C88" s="15">
        <v>448.94</v>
      </c>
      <c r="D88" s="15">
        <v>123.86</v>
      </c>
      <c r="E88" s="22">
        <f t="shared" si="5"/>
        <v>-1.2159789318614722E-2</v>
      </c>
      <c r="F88" s="22">
        <f t="shared" si="6"/>
        <v>-3.0681204793263528E-2</v>
      </c>
      <c r="G88" s="22">
        <f t="shared" si="7"/>
        <v>-1.5421303656597773E-2</v>
      </c>
      <c r="H88" s="20">
        <f>MAX($B$4:B88)</f>
        <v>124752.53</v>
      </c>
      <c r="I88" s="18">
        <f t="shared" si="4"/>
        <v>0.42714588052257074</v>
      </c>
      <c r="J88" s="19">
        <f>MAX($C$4:C88)</f>
        <v>476.67</v>
      </c>
      <c r="K88" s="18">
        <f>(J88/C88)-1</f>
        <v>6.1767719517084707E-2</v>
      </c>
      <c r="L88">
        <f>MAX($D$4:D88)</f>
        <v>234.86</v>
      </c>
      <c r="M88" s="18">
        <f>(L88/D88)-1</f>
        <v>0.89617309865977735</v>
      </c>
    </row>
    <row r="89" spans="1:13" ht="15.5" x14ac:dyDescent="0.35">
      <c r="A89" s="54">
        <v>46015</v>
      </c>
      <c r="B89" s="21">
        <v>87611.96</v>
      </c>
      <c r="C89" s="15">
        <v>435.26</v>
      </c>
      <c r="D89" s="15">
        <v>122.46</v>
      </c>
      <c r="E89" s="22">
        <f t="shared" si="5"/>
        <v>2.2646258036471689E-3</v>
      </c>
      <c r="F89" s="22">
        <f t="shared" si="6"/>
        <v>-3.0471777965875191E-2</v>
      </c>
      <c r="G89" s="22">
        <f t="shared" si="7"/>
        <v>-1.1303084127240459E-2</v>
      </c>
      <c r="H89" s="20">
        <f>MAX($B$4:B89)</f>
        <v>124752.53</v>
      </c>
      <c r="I89" s="18">
        <f t="shared" si="4"/>
        <v>0.42392123175876884</v>
      </c>
      <c r="J89" s="19">
        <f>MAX($C$4:C89)</f>
        <v>476.67</v>
      </c>
      <c r="K89" s="18">
        <f>(J89/C89)-1</f>
        <v>9.5138537885401941E-2</v>
      </c>
      <c r="L89">
        <f>MAX($D$4:D89)</f>
        <v>234.86</v>
      </c>
      <c r="M89" s="18">
        <f>(L89/D89)-1</f>
        <v>0.91785072676792434</v>
      </c>
    </row>
    <row r="90" spans="1:13" ht="15.5" x14ac:dyDescent="0.35">
      <c r="A90" s="54">
        <v>46016</v>
      </c>
      <c r="B90" s="21">
        <v>87234.74</v>
      </c>
      <c r="C90" s="15">
        <v>443.48</v>
      </c>
      <c r="D90" s="15">
        <v>119.95</v>
      </c>
      <c r="E90" s="22">
        <f t="shared" si="5"/>
        <v>-4.3055765445721983E-3</v>
      </c>
      <c r="F90" s="22">
        <f t="shared" si="6"/>
        <v>1.888526398014978E-2</v>
      </c>
      <c r="G90" s="22">
        <f t="shared" si="7"/>
        <v>-2.0496488649354827E-2</v>
      </c>
      <c r="H90" s="20">
        <f>MAX($B$4:B90)</f>
        <v>124752.53</v>
      </c>
      <c r="I90" s="18">
        <f t="shared" si="4"/>
        <v>0.43007854439641813</v>
      </c>
      <c r="J90" s="19">
        <f>MAX($C$4:C90)</f>
        <v>476.67</v>
      </c>
      <c r="K90" s="18">
        <f>(J90/C90)-1</f>
        <v>7.483990258861728E-2</v>
      </c>
      <c r="L90">
        <f>MAX($D$4:D90)</f>
        <v>234.86</v>
      </c>
      <c r="M90" s="18">
        <f>(L90/D90)-1</f>
        <v>0.95798249270529401</v>
      </c>
    </row>
    <row r="91" spans="1:13" ht="15.5" x14ac:dyDescent="0.35">
      <c r="A91" s="54">
        <v>46017</v>
      </c>
      <c r="B91" s="21">
        <v>87301.43</v>
      </c>
      <c r="C91" s="15">
        <v>444.87</v>
      </c>
      <c r="D91" s="15">
        <v>122.2</v>
      </c>
      <c r="E91" s="22">
        <f t="shared" si="5"/>
        <v>7.6448900976822109E-4</v>
      </c>
      <c r="F91" s="22">
        <f t="shared" si="6"/>
        <v>3.1343014341120856E-3</v>
      </c>
      <c r="G91" s="22">
        <f t="shared" si="7"/>
        <v>1.8757815756565321E-2</v>
      </c>
      <c r="H91" s="20">
        <f>MAX($B$4:B91)</f>
        <v>124752.53</v>
      </c>
      <c r="I91" s="18">
        <f t="shared" si="4"/>
        <v>0.42898610022768247</v>
      </c>
      <c r="J91" s="19">
        <f>MAX($C$4:C91)</f>
        <v>476.67</v>
      </c>
      <c r="K91" s="18">
        <f>(J91/C91)-1</f>
        <v>7.1481556409737745E-2</v>
      </c>
      <c r="L91">
        <f>MAX($D$4:D91)</f>
        <v>234.86</v>
      </c>
      <c r="M91" s="18">
        <f>(L91/D91)-1</f>
        <v>0.92193126022913274</v>
      </c>
    </row>
    <row r="92" spans="1:13" ht="15.5" x14ac:dyDescent="0.35">
      <c r="A92" s="54">
        <v>46018</v>
      </c>
      <c r="B92" s="21">
        <v>87802.16</v>
      </c>
      <c r="C92" s="15">
        <v>453.5</v>
      </c>
      <c r="D92" s="15">
        <v>124.65</v>
      </c>
      <c r="E92" s="22">
        <f t="shared" si="5"/>
        <v>5.7356448800438553E-3</v>
      </c>
      <c r="F92" s="22">
        <f t="shared" si="6"/>
        <v>1.9398925528806066E-2</v>
      </c>
      <c r="G92" s="22">
        <f t="shared" si="7"/>
        <v>2.004909983633385E-2</v>
      </c>
      <c r="H92" s="20">
        <f>MAX($B$4:B92)</f>
        <v>124752.53</v>
      </c>
      <c r="I92" s="18">
        <f t="shared" si="4"/>
        <v>0.42083668556673315</v>
      </c>
      <c r="J92" s="19">
        <f>MAX($C$4:C92)</f>
        <v>476.67</v>
      </c>
      <c r="K92" s="18">
        <f>(J92/C92)-1</f>
        <v>5.1091510474090551E-2</v>
      </c>
      <c r="L92">
        <f>MAX($D$4:D92)</f>
        <v>234.86</v>
      </c>
      <c r="M92" s="18">
        <f>(L92/D92)-1</f>
        <v>0.88415563578018452</v>
      </c>
    </row>
    <row r="93" spans="1:13" ht="15.5" x14ac:dyDescent="0.35">
      <c r="A93" s="54">
        <v>46019</v>
      </c>
      <c r="B93" s="21">
        <v>87835.83</v>
      </c>
      <c r="C93" s="15">
        <v>453.07</v>
      </c>
      <c r="D93" s="15">
        <v>125.2</v>
      </c>
      <c r="E93" s="22">
        <f t="shared" si="5"/>
        <v>3.8347575959396529E-4</v>
      </c>
      <c r="F93" s="22">
        <f t="shared" si="6"/>
        <v>-9.4818081587655367E-4</v>
      </c>
      <c r="G93" s="22">
        <f t="shared" si="7"/>
        <v>4.4123545928600461E-3</v>
      </c>
      <c r="H93" s="20">
        <f>MAX($B$4:B93)</f>
        <v>124752.53</v>
      </c>
      <c r="I93" s="18">
        <f t="shared" si="4"/>
        <v>0.42029203799861614</v>
      </c>
      <c r="J93" s="19">
        <f>MAX($C$4:C93)</f>
        <v>476.67</v>
      </c>
      <c r="K93" s="18">
        <f>(J93/C93)-1</f>
        <v>5.2089081157437045E-2</v>
      </c>
      <c r="L93">
        <f>MAX($D$4:D93)</f>
        <v>234.86</v>
      </c>
      <c r="M93" s="18">
        <f>(L93/D93)-1</f>
        <v>0.87587859424920134</v>
      </c>
    </row>
    <row r="94" spans="1:13" ht="15.5" x14ac:dyDescent="0.35">
      <c r="A94" s="54">
        <v>46020</v>
      </c>
      <c r="B94" s="21">
        <v>87138.14</v>
      </c>
      <c r="C94" s="15">
        <v>437.45</v>
      </c>
      <c r="D94" s="15">
        <v>123.13</v>
      </c>
      <c r="E94" s="22">
        <f t="shared" si="5"/>
        <v>-7.9431138750553076E-3</v>
      </c>
      <c r="F94" s="22">
        <f t="shared" si="6"/>
        <v>-3.447590879996465E-2</v>
      </c>
      <c r="G94" s="22">
        <f t="shared" si="7"/>
        <v>-1.6533546325878667E-2</v>
      </c>
      <c r="H94" s="20">
        <f>MAX($B$4:B94)</f>
        <v>124752.53</v>
      </c>
      <c r="I94" s="18">
        <f t="shared" si="4"/>
        <v>0.4316639074462687</v>
      </c>
      <c r="J94" s="19">
        <f>MAX($C$4:C94)</f>
        <v>476.67</v>
      </c>
      <c r="K94" s="18">
        <f>(J94/C94)-1</f>
        <v>8.9655960681220837E-2</v>
      </c>
      <c r="L94">
        <f>MAX($D$4:D94)</f>
        <v>234.86</v>
      </c>
      <c r="M94" s="18">
        <f>(L94/D94)-1</f>
        <v>0.90741492731259665</v>
      </c>
    </row>
    <row r="95" spans="1:13" ht="15.5" x14ac:dyDescent="0.35">
      <c r="A95" s="54">
        <v>46021</v>
      </c>
      <c r="B95" s="21">
        <v>88430.14</v>
      </c>
      <c r="C95" s="15">
        <v>438.67</v>
      </c>
      <c r="D95" s="15">
        <v>124.93</v>
      </c>
      <c r="E95" s="22">
        <f t="shared" si="5"/>
        <v>1.4827032112459504E-2</v>
      </c>
      <c r="F95" s="22">
        <f t="shared" si="6"/>
        <v>2.7888901588752901E-3</v>
      </c>
      <c r="G95" s="22">
        <f t="shared" si="7"/>
        <v>1.4618695687484973E-2</v>
      </c>
      <c r="H95" s="20">
        <f>MAX($B$4:B95)</f>
        <v>124752.53</v>
      </c>
      <c r="I95" s="18">
        <f t="shared" si="4"/>
        <v>0.4107467205185924</v>
      </c>
      <c r="J95" s="19">
        <f>MAX($C$4:C95)</f>
        <v>476.67</v>
      </c>
      <c r="K95" s="18">
        <f>(J95/C95)-1</f>
        <v>8.6625481569289065E-2</v>
      </c>
      <c r="L95">
        <f>MAX($D$4:D95)</f>
        <v>234.86</v>
      </c>
      <c r="M95" s="18">
        <f>(L95/D95)-1</f>
        <v>0.8799327623469142</v>
      </c>
    </row>
    <row r="96" spans="1:13" ht="15.5" x14ac:dyDescent="0.35">
      <c r="A96" s="54">
        <v>46022</v>
      </c>
      <c r="B96" s="21">
        <v>87508.83</v>
      </c>
      <c r="C96" s="15">
        <v>433.27</v>
      </c>
      <c r="D96" s="15">
        <v>124.48</v>
      </c>
      <c r="E96" s="22">
        <f t="shared" si="5"/>
        <v>-1.0418506631336255E-2</v>
      </c>
      <c r="F96" s="22">
        <f t="shared" si="6"/>
        <v>-1.2309936854583259E-2</v>
      </c>
      <c r="G96" s="22">
        <f t="shared" si="7"/>
        <v>-3.6020171295926273E-3</v>
      </c>
      <c r="H96" s="20">
        <f>MAX($B$4:B96)</f>
        <v>124752.53</v>
      </c>
      <c r="I96" s="18">
        <f t="shared" si="4"/>
        <v>0.42559933666122607</v>
      </c>
      <c r="J96" s="19">
        <f>MAX($C$4:C96)</f>
        <v>476.67</v>
      </c>
      <c r="K96" s="18">
        <f>(J96/C96)-1</f>
        <v>0.10016848616336249</v>
      </c>
      <c r="L96">
        <f>MAX($D$4:D96)</f>
        <v>234.86</v>
      </c>
      <c r="M96" s="18">
        <f>(L96/D96)-1</f>
        <v>0.88672879177377895</v>
      </c>
    </row>
    <row r="97" spans="1:13" ht="15.5" x14ac:dyDescent="0.35">
      <c r="A97" s="54">
        <v>46023</v>
      </c>
      <c r="B97" s="21">
        <v>88731.99</v>
      </c>
      <c r="C97" s="15">
        <v>419.58</v>
      </c>
      <c r="D97" s="15">
        <v>126.76</v>
      </c>
      <c r="E97" s="22">
        <f t="shared" si="5"/>
        <v>1.3977560892997953E-2</v>
      </c>
      <c r="F97" s="22">
        <f t="shared" si="6"/>
        <v>-3.1596925704525991E-2</v>
      </c>
      <c r="G97" s="22">
        <f t="shared" si="7"/>
        <v>1.8316195372750643E-2</v>
      </c>
      <c r="H97" s="20">
        <f>MAX($B$4:B97)</f>
        <v>124752.53</v>
      </c>
      <c r="I97" s="18">
        <f t="shared" si="4"/>
        <v>0.40594761821525682</v>
      </c>
      <c r="J97" s="19">
        <f>MAX($C$4:C97)</f>
        <v>476.67</v>
      </c>
      <c r="K97" s="18">
        <f>(J97/C97)-1</f>
        <v>0.13606463606463604</v>
      </c>
      <c r="L97">
        <f>MAX($D$4:D97)</f>
        <v>234.86</v>
      </c>
      <c r="M97" s="18">
        <f>(L97/D97)-1</f>
        <v>0.85279267907857381</v>
      </c>
    </row>
    <row r="98" spans="1:13" ht="15.5" x14ac:dyDescent="0.35">
      <c r="A98" s="54">
        <v>46024</v>
      </c>
      <c r="B98" s="21">
        <v>89944.69</v>
      </c>
      <c r="C98" s="15">
        <v>424.64</v>
      </c>
      <c r="D98" s="15">
        <v>132.13</v>
      </c>
      <c r="E98" s="22">
        <f t="shared" si="5"/>
        <v>1.366699879040234E-2</v>
      </c>
      <c r="F98" s="22">
        <f t="shared" si="6"/>
        <v>1.2059678726345391E-2</v>
      </c>
      <c r="G98" s="22">
        <f t="shared" si="7"/>
        <v>4.2363521615651489E-2</v>
      </c>
      <c r="H98" s="20">
        <f>MAX($B$4:B98)</f>
        <v>124752.53</v>
      </c>
      <c r="I98" s="18">
        <f t="shared" si="4"/>
        <v>0.38699160561896417</v>
      </c>
      <c r="J98" s="19">
        <f>MAX($C$4:C98)</f>
        <v>476.67</v>
      </c>
      <c r="K98" s="18">
        <f>(J98/C98)-1</f>
        <v>0.12252731725697075</v>
      </c>
      <c r="L98">
        <f>MAX($D$4:D98)</f>
        <v>234.86</v>
      </c>
      <c r="M98" s="18">
        <f>(L98/D98)-1</f>
        <v>0.77749186407326132</v>
      </c>
    </row>
    <row r="99" spans="1:13" ht="15.5" x14ac:dyDescent="0.35">
      <c r="A99" s="54">
        <v>46025</v>
      </c>
      <c r="B99" s="21">
        <v>90603.19</v>
      </c>
      <c r="C99" s="15">
        <v>434.48</v>
      </c>
      <c r="D99" s="15">
        <v>133.30000000000001</v>
      </c>
      <c r="E99" s="22">
        <f t="shared" si="5"/>
        <v>7.3211659298619836E-3</v>
      </c>
      <c r="F99" s="22">
        <f t="shared" si="6"/>
        <v>2.317256970610404E-2</v>
      </c>
      <c r="G99" s="22">
        <f t="shared" si="7"/>
        <v>8.8549156134112295E-3</v>
      </c>
      <c r="H99" s="20">
        <f>MAX($B$4:B99)</f>
        <v>124752.53</v>
      </c>
      <c r="I99" s="18">
        <f t="shared" si="4"/>
        <v>0.37691101163215102</v>
      </c>
      <c r="J99" s="19">
        <f>MAX($C$4:C99)</f>
        <v>476.67</v>
      </c>
      <c r="K99" s="18">
        <f>(J99/C99)-1</f>
        <v>9.7104584791014581E-2</v>
      </c>
      <c r="L99">
        <f>MAX($D$4:D99)</f>
        <v>234.86</v>
      </c>
      <c r="M99" s="18">
        <f>(L99/D99)-1</f>
        <v>0.76189047261815457</v>
      </c>
    </row>
    <row r="100" spans="1:13" ht="15.5" x14ac:dyDescent="0.35">
      <c r="A100" s="54">
        <v>46026</v>
      </c>
      <c r="B100" s="21">
        <v>91413.49</v>
      </c>
      <c r="C100" s="15">
        <v>418.13</v>
      </c>
      <c r="D100" s="15">
        <v>133.9</v>
      </c>
      <c r="E100" s="22">
        <f t="shared" si="5"/>
        <v>8.9433937149454579E-3</v>
      </c>
      <c r="F100" s="22">
        <f t="shared" si="6"/>
        <v>-3.7631191309151268E-2</v>
      </c>
      <c r="G100" s="22">
        <f t="shared" si="7"/>
        <v>4.5011252813202951E-3</v>
      </c>
      <c r="H100" s="20">
        <f>MAX($B$4:B100)</f>
        <v>124752.53</v>
      </c>
      <c r="I100" s="18">
        <f t="shared" si="4"/>
        <v>0.36470590937945802</v>
      </c>
      <c r="J100" s="19">
        <f>MAX($C$4:C100)</f>
        <v>476.67</v>
      </c>
      <c r="K100" s="18">
        <f>(J100/C100)-1</f>
        <v>0.14000430488125715</v>
      </c>
      <c r="L100">
        <f>MAX($D$4:D100)</f>
        <v>234.86</v>
      </c>
      <c r="M100" s="18">
        <f>(L100/D100)-1</f>
        <v>0.75399551904406281</v>
      </c>
    </row>
    <row r="101" spans="1:13" ht="15.5" x14ac:dyDescent="0.35">
      <c r="A101" s="54">
        <v>46027</v>
      </c>
      <c r="B101" s="21">
        <v>93882.55</v>
      </c>
      <c r="C101" s="15">
        <v>436.68</v>
      </c>
      <c r="D101" s="15">
        <v>137.99</v>
      </c>
      <c r="E101" s="22">
        <f t="shared" si="5"/>
        <v>2.7009799100767173E-2</v>
      </c>
      <c r="F101" s="22">
        <f t="shared" si="6"/>
        <v>4.436419295434435E-2</v>
      </c>
      <c r="G101" s="22">
        <f t="shared" si="7"/>
        <v>3.0545182972367524E-2</v>
      </c>
      <c r="H101" s="20">
        <f>MAX($B$4:B101)</f>
        <v>124752.53</v>
      </c>
      <c r="I101" s="18">
        <f t="shared" si="4"/>
        <v>0.32881488625948063</v>
      </c>
      <c r="J101" s="19">
        <f>MAX($C$4:C101)</f>
        <v>476.67</v>
      </c>
      <c r="K101" s="18">
        <f>(J101/C101)-1</f>
        <v>9.1577356416598032E-2</v>
      </c>
      <c r="L101">
        <f>MAX($D$4:D101)</f>
        <v>234.86</v>
      </c>
      <c r="M101" s="18">
        <f>(L101/D101)-1</f>
        <v>0.70200739183998828</v>
      </c>
    </row>
    <row r="102" spans="1:13" ht="15.5" x14ac:dyDescent="0.35">
      <c r="A102" s="54">
        <v>46028</v>
      </c>
      <c r="B102" s="21">
        <v>93729.03</v>
      </c>
      <c r="C102" s="15">
        <v>441.04</v>
      </c>
      <c r="D102" s="15">
        <v>141.1</v>
      </c>
      <c r="E102" s="22">
        <f t="shared" si="5"/>
        <v>-1.6352346628847325E-3</v>
      </c>
      <c r="F102" s="22">
        <f t="shared" si="6"/>
        <v>9.9844279563983118E-3</v>
      </c>
      <c r="G102" s="22">
        <f t="shared" si="7"/>
        <v>2.2537865062685514E-2</v>
      </c>
      <c r="H102" s="20">
        <f>MAX($B$4:B102)</f>
        <v>124752.53</v>
      </c>
      <c r="I102" s="18">
        <f t="shared" si="4"/>
        <v>0.33099136948285923</v>
      </c>
      <c r="J102" s="19">
        <f>MAX($C$4:C102)</f>
        <v>476.67</v>
      </c>
      <c r="K102" s="18">
        <f>(J102/C102)-1</f>
        <v>8.0786323235987556E-2</v>
      </c>
      <c r="L102">
        <f>MAX($D$4:D102)</f>
        <v>234.86</v>
      </c>
      <c r="M102" s="18">
        <f>(L102/D102)-1</f>
        <v>0.66449326718639279</v>
      </c>
    </row>
    <row r="103" spans="1:13" ht="15.5" x14ac:dyDescent="0.35">
      <c r="A103" s="54">
        <v>46029</v>
      </c>
      <c r="B103" s="21">
        <v>91308.05</v>
      </c>
      <c r="C103" s="15">
        <v>436.39</v>
      </c>
      <c r="D103" s="15">
        <v>136.31</v>
      </c>
      <c r="E103" s="22">
        <f t="shared" si="5"/>
        <v>-2.5829564223592172E-2</v>
      </c>
      <c r="F103" s="22">
        <f t="shared" si="6"/>
        <v>-1.0543261382187641E-2</v>
      </c>
      <c r="G103" s="22">
        <f t="shared" si="7"/>
        <v>-3.3947554925584655E-2</v>
      </c>
      <c r="H103" s="20">
        <f>MAX($B$4:B103)</f>
        <v>124752.53</v>
      </c>
      <c r="I103" s="18">
        <f t="shared" si="4"/>
        <v>0.36628183385802227</v>
      </c>
      <c r="J103" s="19">
        <f>MAX($C$4:C103)</f>
        <v>476.67</v>
      </c>
      <c r="K103" s="18">
        <f>(J103/C103)-1</f>
        <v>9.2302756708448896E-2</v>
      </c>
      <c r="L103">
        <f>MAX($D$4:D103)</f>
        <v>234.86</v>
      </c>
      <c r="M103" s="18">
        <f>(L103/D103)-1</f>
        <v>0.72298437385371583</v>
      </c>
    </row>
    <row r="104" spans="1:13" ht="15.5" x14ac:dyDescent="0.35">
      <c r="A104" s="54">
        <v>46030</v>
      </c>
      <c r="B104" s="21">
        <v>91027.13</v>
      </c>
      <c r="C104" s="15">
        <v>451.75</v>
      </c>
      <c r="D104" s="15">
        <v>138.29</v>
      </c>
      <c r="E104" s="22">
        <f t="shared" si="5"/>
        <v>-3.0766181076038457E-3</v>
      </c>
      <c r="F104" s="22">
        <f t="shared" si="6"/>
        <v>3.5197873461811691E-2</v>
      </c>
      <c r="G104" s="22">
        <f t="shared" si="7"/>
        <v>1.4525713447289146E-2</v>
      </c>
      <c r="H104" s="20">
        <f>MAX($B$4:B104)</f>
        <v>124752.53</v>
      </c>
      <c r="I104" s="18">
        <f t="shared" si="4"/>
        <v>0.37049833384838116</v>
      </c>
      <c r="J104" s="19">
        <f>MAX($C$4:C104)</f>
        <v>476.67</v>
      </c>
      <c r="K104" s="18">
        <f>(J104/C104)-1</f>
        <v>5.5163254012174923E-2</v>
      </c>
      <c r="L104">
        <f>MAX($D$4:D104)</f>
        <v>234.86</v>
      </c>
      <c r="M104" s="18">
        <f>(L104/D104)-1</f>
        <v>0.69831513486152308</v>
      </c>
    </row>
    <row r="105" spans="1:13" ht="15.5" x14ac:dyDescent="0.35">
      <c r="A105" s="54">
        <v>46031</v>
      </c>
      <c r="B105" s="21">
        <v>90513.1</v>
      </c>
      <c r="C105" s="15">
        <v>450.93</v>
      </c>
      <c r="D105" s="15">
        <v>135.76</v>
      </c>
      <c r="E105" s="22">
        <f t="shared" si="5"/>
        <v>-5.6469977686871564E-3</v>
      </c>
      <c r="F105" s="22">
        <f t="shared" si="6"/>
        <v>-1.8151632540122087E-3</v>
      </c>
      <c r="G105" s="22">
        <f t="shared" si="7"/>
        <v>-1.8294887555137751E-2</v>
      </c>
      <c r="H105" s="20">
        <f>MAX($B$4:B105)</f>
        <v>124752.53</v>
      </c>
      <c r="I105" s="18">
        <f t="shared" si="4"/>
        <v>0.37828148632628866</v>
      </c>
      <c r="J105" s="19">
        <f>MAX($C$4:C105)</f>
        <v>476.67</v>
      </c>
      <c r="K105" s="18">
        <f>(J105/C105)-1</f>
        <v>5.70820304703612E-2</v>
      </c>
      <c r="L105">
        <f>MAX($D$4:D105)</f>
        <v>234.86</v>
      </c>
      <c r="M105" s="18">
        <f>(L105/D105)-1</f>
        <v>0.72996464348850942</v>
      </c>
    </row>
    <row r="106" spans="1:13" ht="15.5" x14ac:dyDescent="0.35">
      <c r="A106" s="54">
        <v>46032</v>
      </c>
      <c r="B106" s="21">
        <v>90386.65</v>
      </c>
      <c r="C106" s="15">
        <v>471.56</v>
      </c>
      <c r="D106" s="15">
        <v>135.72999999999999</v>
      </c>
      <c r="E106" s="22">
        <f t="shared" si="5"/>
        <v>-1.3970353462648966E-3</v>
      </c>
      <c r="F106" s="22">
        <f t="shared" si="6"/>
        <v>4.5749894662142632E-2</v>
      </c>
      <c r="G106" s="22">
        <f t="shared" si="7"/>
        <v>-2.2097819681787811E-4</v>
      </c>
      <c r="H106" s="20">
        <f>MAX($B$4:B106)</f>
        <v>124752.53</v>
      </c>
      <c r="I106" s="18">
        <f t="shared" si="4"/>
        <v>0.38020968804574573</v>
      </c>
      <c r="J106" s="19">
        <f>MAX($C$4:C106)</f>
        <v>476.67</v>
      </c>
      <c r="K106" s="18">
        <f>(J106/C106)-1</f>
        <v>1.0836372889982293E-2</v>
      </c>
      <c r="L106">
        <f>MAX($D$4:D106)</f>
        <v>234.86</v>
      </c>
      <c r="M106" s="18">
        <f>(L106/D106)-1</f>
        <v>0.73034701245119016</v>
      </c>
    </row>
    <row r="107" spans="1:13" ht="15.5" x14ac:dyDescent="0.35">
      <c r="A107" s="54">
        <v>46033</v>
      </c>
      <c r="B107" s="21">
        <v>90827.46</v>
      </c>
      <c r="C107" s="15">
        <v>558.53</v>
      </c>
      <c r="D107" s="15">
        <v>139.49</v>
      </c>
      <c r="E107" s="22">
        <f t="shared" si="5"/>
        <v>4.8769370255454803E-3</v>
      </c>
      <c r="F107" s="22">
        <f t="shared" si="6"/>
        <v>0.18443040122147769</v>
      </c>
      <c r="G107" s="22">
        <f t="shared" si="7"/>
        <v>2.7702055551462657E-2</v>
      </c>
      <c r="H107" s="20">
        <f>MAX($B$4:B107)</f>
        <v>124752.53</v>
      </c>
      <c r="I107" s="18">
        <f t="shared" si="4"/>
        <v>0.37351116061155953</v>
      </c>
      <c r="J107" s="19">
        <f>MAX($C$4:C107)</f>
        <v>558.53</v>
      </c>
      <c r="K107" s="18">
        <f>(J107/C107)-1</f>
        <v>0</v>
      </c>
      <c r="L107">
        <f>MAX($D$4:D107)</f>
        <v>234.86</v>
      </c>
      <c r="M107" s="18">
        <f>(L107/D107)-1</f>
        <v>0.68370492508423553</v>
      </c>
    </row>
    <row r="108" spans="1:13" ht="15.5" x14ac:dyDescent="0.35">
      <c r="A108" s="54">
        <v>46034</v>
      </c>
      <c r="B108" s="21">
        <v>91192.99</v>
      </c>
      <c r="C108" s="15">
        <v>634.73</v>
      </c>
      <c r="D108" s="15">
        <v>139.13999999999999</v>
      </c>
      <c r="E108" s="22">
        <f t="shared" si="5"/>
        <v>4.0244437089840268E-3</v>
      </c>
      <c r="F108" s="22">
        <f t="shared" si="6"/>
        <v>0.13642955615633912</v>
      </c>
      <c r="G108" s="22">
        <f t="shared" si="7"/>
        <v>-2.5091404401751394E-3</v>
      </c>
      <c r="H108" s="20">
        <f>MAX($B$4:B108)</f>
        <v>124752.53</v>
      </c>
      <c r="I108" s="18">
        <f t="shared" si="4"/>
        <v>0.36800569868363775</v>
      </c>
      <c r="J108" s="19">
        <f>MAX($C$4:C108)</f>
        <v>634.73</v>
      </c>
      <c r="K108" s="18">
        <f>(J108/C108)-1</f>
        <v>0</v>
      </c>
      <c r="L108">
        <f>MAX($D$4:D108)</f>
        <v>234.86</v>
      </c>
      <c r="M108" s="18">
        <f>(L108/D108)-1</f>
        <v>0.68794020411096768</v>
      </c>
    </row>
    <row r="109" spans="1:13" ht="15.5" x14ac:dyDescent="0.35">
      <c r="A109" s="54">
        <v>46035</v>
      </c>
      <c r="B109" s="21">
        <v>95321.78</v>
      </c>
      <c r="C109" s="15">
        <v>680.16</v>
      </c>
      <c r="D109" s="15">
        <v>145.36000000000001</v>
      </c>
      <c r="E109" s="22">
        <f t="shared" si="5"/>
        <v>4.5275300217703096E-2</v>
      </c>
      <c r="F109" s="22">
        <f t="shared" si="6"/>
        <v>7.157374001543948E-2</v>
      </c>
      <c r="G109" s="22">
        <f t="shared" si="7"/>
        <v>4.4703176656605059E-2</v>
      </c>
      <c r="H109" s="20">
        <f>MAX($B$4:B109)</f>
        <v>124752.53</v>
      </c>
      <c r="I109" s="18">
        <f t="shared" si="4"/>
        <v>0.30875157807586051</v>
      </c>
      <c r="J109" s="19">
        <f>MAX($C$4:C109)</f>
        <v>680.16</v>
      </c>
      <c r="K109" s="18">
        <f>(J109/C109)-1</f>
        <v>0</v>
      </c>
      <c r="L109">
        <f>MAX($D$4:D109)</f>
        <v>234.86</v>
      </c>
      <c r="M109" s="18">
        <f>(L109/D109)-1</f>
        <v>0.61571271326362131</v>
      </c>
    </row>
    <row r="110" spans="1:13" ht="15.5" x14ac:dyDescent="0.35">
      <c r="A110" s="54">
        <v>46036</v>
      </c>
      <c r="B110" s="21">
        <v>96929.33</v>
      </c>
      <c r="C110" s="15">
        <v>713.44</v>
      </c>
      <c r="D110" s="15">
        <v>146.75</v>
      </c>
      <c r="E110" s="22">
        <f t="shared" si="5"/>
        <v>1.686445637083156E-2</v>
      </c>
      <c r="F110" s="22">
        <f t="shared" si="6"/>
        <v>4.8929663608562768E-2</v>
      </c>
      <c r="G110" s="22">
        <f t="shared" si="7"/>
        <v>9.5624656026416233E-3</v>
      </c>
      <c r="H110" s="20">
        <f>MAX($B$4:B110)</f>
        <v>124752.53</v>
      </c>
      <c r="I110" s="18">
        <f t="shared" si="4"/>
        <v>0.28704624286580738</v>
      </c>
      <c r="J110" s="19">
        <f>MAX($C$4:C110)</f>
        <v>713.44</v>
      </c>
      <c r="K110" s="18">
        <f>(J110/C110)-1</f>
        <v>0</v>
      </c>
      <c r="L110">
        <f>MAX($D$4:D110)</f>
        <v>234.86</v>
      </c>
      <c r="M110" s="18">
        <f>(L110/D110)-1</f>
        <v>0.60040885860306648</v>
      </c>
    </row>
    <row r="111" spans="1:13" ht="15.5" x14ac:dyDescent="0.35">
      <c r="A111" s="54">
        <v>46037</v>
      </c>
      <c r="B111" s="21">
        <v>95551.19</v>
      </c>
      <c r="C111" s="15">
        <v>677.92</v>
      </c>
      <c r="D111" s="15">
        <v>142.33000000000001</v>
      </c>
      <c r="E111" s="22">
        <f t="shared" si="5"/>
        <v>-1.4217987476030203E-2</v>
      </c>
      <c r="F111" s="22">
        <f t="shared" si="6"/>
        <v>-4.9786947746131571E-2</v>
      </c>
      <c r="G111" s="22">
        <f t="shared" si="7"/>
        <v>-3.0119250425894251E-2</v>
      </c>
      <c r="H111" s="20">
        <f>MAX($B$4:B111)</f>
        <v>124752.53</v>
      </c>
      <c r="I111" s="18">
        <f t="shared" si="4"/>
        <v>0.30560938068903165</v>
      </c>
      <c r="J111" s="19">
        <f>MAX($C$4:C111)</f>
        <v>713.44</v>
      </c>
      <c r="K111" s="18">
        <f>(J111/C111)-1</f>
        <v>5.2395562898277293E-2</v>
      </c>
      <c r="L111">
        <f>MAX($D$4:D111)</f>
        <v>234.86</v>
      </c>
      <c r="M111" s="18">
        <f>(L111/D111)-1</f>
        <v>0.65010890184781833</v>
      </c>
    </row>
    <row r="112" spans="1:13" ht="15.5" x14ac:dyDescent="0.35">
      <c r="A112" s="54">
        <v>46038</v>
      </c>
      <c r="B112" s="21">
        <v>95525.119999999995</v>
      </c>
      <c r="C112" s="15">
        <v>619.84</v>
      </c>
      <c r="D112" s="15">
        <v>144.86000000000001</v>
      </c>
      <c r="E112" s="22">
        <f t="shared" si="5"/>
        <v>-2.7283804628708275E-4</v>
      </c>
      <c r="F112" s="22">
        <f t="shared" si="6"/>
        <v>-8.5673825820155702E-2</v>
      </c>
      <c r="G112" s="22">
        <f t="shared" si="7"/>
        <v>1.7775591934237278E-2</v>
      </c>
      <c r="H112" s="20">
        <f>MAX($B$4:B112)</f>
        <v>124752.53</v>
      </c>
      <c r="I112" s="18">
        <f t="shared" si="4"/>
        <v>0.30596569781854255</v>
      </c>
      <c r="J112" s="19">
        <f>MAX($C$4:C112)</f>
        <v>713.44</v>
      </c>
      <c r="K112" s="18">
        <f>(J112/C112)-1</f>
        <v>0.15100671140939603</v>
      </c>
      <c r="L112">
        <f>MAX($D$4:D112)</f>
        <v>234.86</v>
      </c>
      <c r="M112" s="18">
        <f>(L112/D112)-1</f>
        <v>0.62128952091674705</v>
      </c>
    </row>
    <row r="113" spans="1:13" ht="15.5" x14ac:dyDescent="0.35">
      <c r="A113" s="54">
        <v>46039</v>
      </c>
      <c r="B113" s="21">
        <v>95099.92</v>
      </c>
      <c r="C113" s="15">
        <v>586.64</v>
      </c>
      <c r="D113" s="15">
        <v>143.72999999999999</v>
      </c>
      <c r="E113" s="22">
        <f t="shared" si="5"/>
        <v>-4.4511851961033244E-3</v>
      </c>
      <c r="F113" s="22">
        <f t="shared" si="6"/>
        <v>-5.356220960247815E-2</v>
      </c>
      <c r="G113" s="22">
        <f t="shared" si="7"/>
        <v>-7.8006350959548554E-3</v>
      </c>
      <c r="H113" s="20">
        <f>MAX($B$4:B113)</f>
        <v>124752.53</v>
      </c>
      <c r="I113" s="18">
        <f t="shared" si="4"/>
        <v>0.31180478385260479</v>
      </c>
      <c r="J113" s="19">
        <f>MAX($C$4:C113)</f>
        <v>713.44</v>
      </c>
      <c r="K113" s="18">
        <f>(J113/C113)-1</f>
        <v>0.21614618846311218</v>
      </c>
      <c r="L113">
        <f>MAX($D$4:D113)</f>
        <v>234.86</v>
      </c>
      <c r="M113" s="18">
        <f>(L113/D113)-1</f>
        <v>0.63403603979684142</v>
      </c>
    </row>
    <row r="114" spans="1:13" ht="15.5" x14ac:dyDescent="0.35">
      <c r="A114" s="54">
        <v>46040</v>
      </c>
      <c r="B114" s="21">
        <v>93634.43</v>
      </c>
      <c r="C114" s="15">
        <v>573.14</v>
      </c>
      <c r="D114" s="15">
        <v>138</v>
      </c>
      <c r="E114" s="22">
        <f t="shared" si="5"/>
        <v>-1.5410002447951654E-2</v>
      </c>
      <c r="F114" s="22">
        <f t="shared" si="6"/>
        <v>-2.30124096549843E-2</v>
      </c>
      <c r="G114" s="22">
        <f t="shared" si="7"/>
        <v>-3.9866416197036014E-2</v>
      </c>
      <c r="H114" s="20">
        <f>MAX($B$4:B114)</f>
        <v>124752.53</v>
      </c>
      <c r="I114" s="18">
        <f t="shared" si="4"/>
        <v>0.33233608620247934</v>
      </c>
      <c r="J114" s="19">
        <f>MAX($C$4:C114)</f>
        <v>713.44</v>
      </c>
      <c r="K114" s="18">
        <f>(J114/C114)-1</f>
        <v>0.24479184841400015</v>
      </c>
      <c r="L114">
        <f>MAX($D$4:D114)</f>
        <v>234.86</v>
      </c>
      <c r="M114" s="18">
        <f>(L114/D114)-1</f>
        <v>0.70188405797101461</v>
      </c>
    </row>
    <row r="115" spans="1:13" ht="15.5" x14ac:dyDescent="0.35">
      <c r="A115" s="54">
        <v>46041</v>
      </c>
      <c r="B115" s="21">
        <v>92553.600000000006</v>
      </c>
      <c r="C115" s="15">
        <v>622.25</v>
      </c>
      <c r="D115" s="15">
        <v>133.34</v>
      </c>
      <c r="E115" s="22">
        <f t="shared" si="5"/>
        <v>-1.1543083030462031E-2</v>
      </c>
      <c r="F115" s="22">
        <f t="shared" si="6"/>
        <v>8.5685870816903487E-2</v>
      </c>
      <c r="G115" s="22">
        <f t="shared" si="7"/>
        <v>-3.3768115942028998E-2</v>
      </c>
      <c r="H115" s="20">
        <f>MAX($B$4:B115)</f>
        <v>124752.53</v>
      </c>
      <c r="I115" s="18">
        <f t="shared" si="4"/>
        <v>0.3478949495211423</v>
      </c>
      <c r="J115" s="19">
        <f>MAX($C$4:C115)</f>
        <v>713.44</v>
      </c>
      <c r="K115" s="18">
        <f>(J115/C115)-1</f>
        <v>0.14654881478505422</v>
      </c>
      <c r="L115">
        <f>MAX($D$4:D115)</f>
        <v>234.86</v>
      </c>
      <c r="M115" s="18">
        <f>(L115/D115)-1</f>
        <v>0.76136193190340484</v>
      </c>
    </row>
    <row r="116" spans="1:13" ht="15.5" x14ac:dyDescent="0.35">
      <c r="A116" s="54">
        <v>46042</v>
      </c>
      <c r="B116" s="21">
        <v>88310.9</v>
      </c>
      <c r="C116" s="15">
        <v>503.26</v>
      </c>
      <c r="D116" s="15">
        <v>125.71</v>
      </c>
      <c r="E116" s="22">
        <f t="shared" si="5"/>
        <v>-4.584046433634148E-2</v>
      </c>
      <c r="F116" s="22">
        <f t="shared" si="6"/>
        <v>-0.19122539172358377</v>
      </c>
      <c r="G116" s="22">
        <f t="shared" si="7"/>
        <v>-5.7222138893055385E-2</v>
      </c>
      <c r="H116" s="20">
        <f>MAX($B$4:B116)</f>
        <v>124752.53</v>
      </c>
      <c r="I116" s="18">
        <f t="shared" si="4"/>
        <v>0.41265155263959508</v>
      </c>
      <c r="J116" s="19">
        <f>MAX($C$4:C116)</f>
        <v>713.44</v>
      </c>
      <c r="K116" s="18">
        <f>(J116/C116)-1</f>
        <v>0.41763700671621051</v>
      </c>
      <c r="L116">
        <f>MAX($D$4:D116)</f>
        <v>234.86</v>
      </c>
      <c r="M116" s="18">
        <f>(L116/D116)-1</f>
        <v>0.86826823641715078</v>
      </c>
    </row>
    <row r="117" spans="1:13" ht="15.5" x14ac:dyDescent="0.35">
      <c r="A117" s="54">
        <v>46043</v>
      </c>
      <c r="B117" s="21">
        <v>89376.960000000006</v>
      </c>
      <c r="C117" s="15">
        <v>521.62</v>
      </c>
      <c r="D117" s="15">
        <v>129.38</v>
      </c>
      <c r="E117" s="22">
        <f t="shared" si="5"/>
        <v>1.207166952210903E-2</v>
      </c>
      <c r="F117" s="22">
        <f t="shared" si="6"/>
        <v>3.6482136470214144E-2</v>
      </c>
      <c r="G117" s="22">
        <f t="shared" si="7"/>
        <v>2.9194177074218564E-2</v>
      </c>
      <c r="H117" s="20">
        <f>MAX($B$4:B117)</f>
        <v>124752.53</v>
      </c>
      <c r="I117" s="18">
        <f t="shared" si="4"/>
        <v>0.39580189346337113</v>
      </c>
      <c r="J117" s="19">
        <f>MAX($C$4:C117)</f>
        <v>713.44</v>
      </c>
      <c r="K117" s="18">
        <f>(J117/C117)-1</f>
        <v>0.36773896706414644</v>
      </c>
      <c r="L117">
        <f>MAX($D$4:D117)</f>
        <v>234.86</v>
      </c>
      <c r="M117" s="18">
        <f>(L117/D117)-1</f>
        <v>0.8152728396970168</v>
      </c>
    </row>
    <row r="118" spans="1:13" ht="15.5" x14ac:dyDescent="0.35">
      <c r="A118" s="54">
        <v>46044</v>
      </c>
      <c r="B118" s="21">
        <v>89462.45</v>
      </c>
      <c r="C118" s="15">
        <v>515.97</v>
      </c>
      <c r="D118" s="15">
        <v>128.29</v>
      </c>
      <c r="E118" s="22">
        <f t="shared" si="5"/>
        <v>9.5651049218936635E-4</v>
      </c>
      <c r="F118" s="22">
        <f t="shared" si="6"/>
        <v>-1.0831639891108469E-2</v>
      </c>
      <c r="G118" s="22">
        <f t="shared" si="7"/>
        <v>-8.4247951769980123E-3</v>
      </c>
      <c r="H118" s="20">
        <f>MAX($B$4:B118)</f>
        <v>124752.53</v>
      </c>
      <c r="I118" s="18">
        <f t="shared" si="4"/>
        <v>0.39446807012327523</v>
      </c>
      <c r="J118" s="19">
        <f>MAX($C$4:C118)</f>
        <v>713.44</v>
      </c>
      <c r="K118" s="18">
        <f>(J118/C118)-1</f>
        <v>0.38271604938271597</v>
      </c>
      <c r="L118">
        <f>MAX($D$4:D118)</f>
        <v>234.86</v>
      </c>
      <c r="M118" s="18">
        <f>(L118/D118)-1</f>
        <v>0.83069607919557265</v>
      </c>
    </row>
    <row r="119" spans="1:13" ht="15.5" x14ac:dyDescent="0.35">
      <c r="A119" s="54">
        <v>46045</v>
      </c>
      <c r="B119" s="21">
        <v>89503.88</v>
      </c>
      <c r="C119" s="15">
        <v>512.02</v>
      </c>
      <c r="D119" s="15">
        <v>127.36</v>
      </c>
      <c r="E119" s="22">
        <f t="shared" si="5"/>
        <v>4.6309932267685205E-4</v>
      </c>
      <c r="F119" s="22">
        <f t="shared" si="6"/>
        <v>-7.6554838459601537E-3</v>
      </c>
      <c r="G119" s="22">
        <f t="shared" si="7"/>
        <v>-7.2492010289187947E-3</v>
      </c>
      <c r="H119" s="20">
        <f>MAX($B$4:B119)</f>
        <v>124752.53</v>
      </c>
      <c r="I119" s="18">
        <f t="shared" si="4"/>
        <v>0.39382259182506929</v>
      </c>
      <c r="J119" s="19">
        <f>MAX($C$4:C119)</f>
        <v>713.44</v>
      </c>
      <c r="K119" s="18">
        <f>(J119/C119)-1</f>
        <v>0.39338307097379022</v>
      </c>
      <c r="L119">
        <f>MAX($D$4:D119)</f>
        <v>234.86</v>
      </c>
      <c r="M119" s="18">
        <f>(L119/D119)-1</f>
        <v>0.84406407035175901</v>
      </c>
    </row>
    <row r="120" spans="1:13" ht="15.5" x14ac:dyDescent="0.35">
      <c r="A120" s="54">
        <v>46046</v>
      </c>
      <c r="B120" s="21">
        <v>89110.74</v>
      </c>
      <c r="C120" s="15">
        <v>502.99</v>
      </c>
      <c r="D120" s="15">
        <v>127.05</v>
      </c>
      <c r="E120" s="22">
        <f t="shared" si="5"/>
        <v>-4.3924352776661957E-3</v>
      </c>
      <c r="F120" s="22">
        <f t="shared" si="6"/>
        <v>-1.7636029842584167E-2</v>
      </c>
      <c r="G120" s="22">
        <f t="shared" si="7"/>
        <v>-2.4340452261306655E-3</v>
      </c>
      <c r="H120" s="20">
        <f>MAX($B$4:B120)</f>
        <v>124752.53</v>
      </c>
      <c r="I120" s="18">
        <f t="shared" si="4"/>
        <v>0.39997187768836828</v>
      </c>
      <c r="J120" s="19">
        <f>MAX($C$4:C120)</f>
        <v>713.44</v>
      </c>
      <c r="K120" s="18">
        <f>(J120/C120)-1</f>
        <v>0.41839798007912687</v>
      </c>
      <c r="L120">
        <f>MAX($D$4:D120)</f>
        <v>234.86</v>
      </c>
      <c r="M120" s="18">
        <f>(L120/D120)-1</f>
        <v>0.848563557654467</v>
      </c>
    </row>
    <row r="121" spans="1:13" ht="15.5" x14ac:dyDescent="0.35">
      <c r="A121" s="54">
        <v>46047</v>
      </c>
      <c r="B121" s="21">
        <v>86572.22</v>
      </c>
      <c r="C121" s="15">
        <v>449.31</v>
      </c>
      <c r="D121" s="15">
        <v>118.77</v>
      </c>
      <c r="E121" s="22">
        <f t="shared" si="5"/>
        <v>-2.8487250807254005E-2</v>
      </c>
      <c r="F121" s="22">
        <f t="shared" si="6"/>
        <v>-0.10672180361438599</v>
      </c>
      <c r="G121" s="22">
        <f t="shared" si="7"/>
        <v>-6.5171192443919779E-2</v>
      </c>
      <c r="H121" s="20">
        <f>MAX($B$4:B121)</f>
        <v>124752.53</v>
      </c>
      <c r="I121" s="18">
        <f t="shared" si="4"/>
        <v>0.44102265137708141</v>
      </c>
      <c r="J121" s="19">
        <f>MAX($C$4:C121)</f>
        <v>713.44</v>
      </c>
      <c r="K121" s="18">
        <f>(J121/C121)-1</f>
        <v>0.58785693619104862</v>
      </c>
      <c r="L121">
        <f>MAX($D$4:D121)</f>
        <v>234.86</v>
      </c>
      <c r="M121" s="18">
        <f>(L121/D121)-1</f>
        <v>0.97743537930453828</v>
      </c>
    </row>
    <row r="122" spans="1:13" ht="15.5" x14ac:dyDescent="0.35">
      <c r="A122" s="54">
        <v>46048</v>
      </c>
      <c r="B122" s="21">
        <v>88267.14</v>
      </c>
      <c r="C122" s="15">
        <v>460.63</v>
      </c>
      <c r="D122" s="15">
        <v>124.14</v>
      </c>
      <c r="E122" s="22">
        <f t="shared" si="5"/>
        <v>1.9578104847028266E-2</v>
      </c>
      <c r="F122" s="22">
        <f t="shared" si="6"/>
        <v>2.5194186641739558E-2</v>
      </c>
      <c r="G122" s="22">
        <f t="shared" si="7"/>
        <v>4.5213437736802309E-2</v>
      </c>
      <c r="H122" s="20">
        <f>MAX($B$4:B122)</f>
        <v>124752.53</v>
      </c>
      <c r="I122" s="18">
        <f t="shared" si="4"/>
        <v>0.4133518996990273</v>
      </c>
      <c r="J122" s="19">
        <f>MAX($C$4:C122)</f>
        <v>713.44</v>
      </c>
      <c r="K122" s="18">
        <f>(J122/C122)-1</f>
        <v>0.54883529079738635</v>
      </c>
      <c r="L122">
        <f>MAX($D$4:D122)</f>
        <v>234.86</v>
      </c>
      <c r="M122" s="18">
        <f>(L122/D122)-1</f>
        <v>0.89189624617367502</v>
      </c>
    </row>
    <row r="123" spans="1:13" ht="15.5" x14ac:dyDescent="0.35">
      <c r="A123" s="54">
        <v>46049</v>
      </c>
      <c r="B123" s="21">
        <v>89102.57</v>
      </c>
      <c r="C123" s="15">
        <v>469.66</v>
      </c>
      <c r="D123" s="15">
        <v>127.05</v>
      </c>
      <c r="E123" s="22">
        <f t="shared" si="5"/>
        <v>9.4647906344309529E-3</v>
      </c>
      <c r="F123" s="22">
        <f t="shared" si="6"/>
        <v>1.9603586392549444E-2</v>
      </c>
      <c r="G123" s="22">
        <f t="shared" si="7"/>
        <v>2.3441275978733689E-2</v>
      </c>
      <c r="H123" s="20">
        <f>MAX($B$4:B123)</f>
        <v>124752.53</v>
      </c>
      <c r="I123" s="18">
        <f t="shared" si="4"/>
        <v>0.40010024402214195</v>
      </c>
      <c r="J123" s="19">
        <f>MAX($C$4:C123)</f>
        <v>713.44</v>
      </c>
      <c r="K123" s="18">
        <f>(J123/C123)-1</f>
        <v>0.51905633862794365</v>
      </c>
      <c r="L123">
        <f>MAX($D$4:D123)</f>
        <v>234.86</v>
      </c>
      <c r="M123" s="18">
        <f>(L123/D123)-1</f>
        <v>0.848563557654467</v>
      </c>
    </row>
    <row r="124" spans="1:13" ht="15.5" x14ac:dyDescent="0.35">
      <c r="A124" s="54">
        <v>46050</v>
      </c>
      <c r="B124" s="21">
        <v>89184.57</v>
      </c>
      <c r="C124" s="15">
        <v>468.63</v>
      </c>
      <c r="D124" s="15">
        <v>125.12</v>
      </c>
      <c r="E124" s="22">
        <f t="shared" si="5"/>
        <v>9.2028770887297995E-4</v>
      </c>
      <c r="F124" s="22">
        <f t="shared" si="6"/>
        <v>-2.1930758420986018E-3</v>
      </c>
      <c r="G124" s="22">
        <f t="shared" si="7"/>
        <v>-1.519086973632422E-2</v>
      </c>
      <c r="H124" s="20">
        <f>MAX($B$4:B124)</f>
        <v>124752.53</v>
      </c>
      <c r="I124" s="18">
        <f t="shared" si="4"/>
        <v>0.39881293367227078</v>
      </c>
      <c r="J124" s="19">
        <f>MAX($C$4:C124)</f>
        <v>713.44</v>
      </c>
      <c r="K124" s="18">
        <f>(J124/C124)-1</f>
        <v>0.52239506647034983</v>
      </c>
      <c r="L124">
        <f>MAX($D$4:D124)</f>
        <v>234.86</v>
      </c>
      <c r="M124" s="18">
        <f>(L124/D124)-1</f>
        <v>0.87707800511508949</v>
      </c>
    </row>
    <row r="125" spans="1:13" ht="15.5" x14ac:dyDescent="0.35">
      <c r="A125" s="54">
        <v>46051</v>
      </c>
      <c r="B125" s="21">
        <v>84561.58</v>
      </c>
      <c r="C125" s="15">
        <v>459.15</v>
      </c>
      <c r="D125" s="15">
        <v>117.61</v>
      </c>
      <c r="E125" s="22">
        <f t="shared" si="5"/>
        <v>-5.1836208886806401E-2</v>
      </c>
      <c r="F125" s="22">
        <f t="shared" si="6"/>
        <v>-2.02291786697395E-2</v>
      </c>
      <c r="G125" s="22">
        <f t="shared" si="7"/>
        <v>-6.0022378516624064E-2</v>
      </c>
      <c r="H125" s="20">
        <f>MAX($B$4:B125)</f>
        <v>124752.53</v>
      </c>
      <c r="I125" s="18">
        <f t="shared" si="4"/>
        <v>0.47528617606246226</v>
      </c>
      <c r="J125" s="19">
        <f>MAX($C$4:C125)</f>
        <v>713.44</v>
      </c>
      <c r="K125" s="18">
        <f>(J125/C125)-1</f>
        <v>0.55382772514428846</v>
      </c>
      <c r="L125">
        <f>MAX($D$4:D125)</f>
        <v>234.86</v>
      </c>
      <c r="M125" s="18">
        <f>(L125/D125)-1</f>
        <v>0.99693903579627596</v>
      </c>
    </row>
    <row r="126" spans="1:13" ht="15.5" x14ac:dyDescent="0.35">
      <c r="A126" s="54">
        <v>46052</v>
      </c>
      <c r="B126" s="21">
        <v>84128.66</v>
      </c>
      <c r="C126" s="15">
        <v>460.4</v>
      </c>
      <c r="D126" s="15">
        <v>117.36</v>
      </c>
      <c r="E126" s="22">
        <f t="shared" si="5"/>
        <v>-5.1195826757257645E-3</v>
      </c>
      <c r="F126" s="22">
        <f t="shared" si="6"/>
        <v>2.7224218664925193E-3</v>
      </c>
      <c r="G126" s="22">
        <f t="shared" si="7"/>
        <v>-2.1256695859195318E-3</v>
      </c>
      <c r="H126" s="20">
        <f>MAX($B$4:B126)</f>
        <v>124752.53</v>
      </c>
      <c r="I126" s="18">
        <f t="shared" si="4"/>
        <v>0.48287789202870934</v>
      </c>
      <c r="J126" s="19">
        <f>MAX($C$4:C126)</f>
        <v>713.44</v>
      </c>
      <c r="K126" s="18">
        <f>(J126/C126)-1</f>
        <v>0.54960903562119912</v>
      </c>
      <c r="L126">
        <f>MAX($D$4:D126)</f>
        <v>234.86</v>
      </c>
      <c r="M126" s="18">
        <f>(L126/D126)-1</f>
        <v>1.0011929107021134</v>
      </c>
    </row>
    <row r="127" spans="1:13" ht="15.5" x14ac:dyDescent="0.35">
      <c r="A127" s="54">
        <v>46053</v>
      </c>
      <c r="B127" s="21">
        <v>78621.11</v>
      </c>
      <c r="C127" s="15">
        <v>463.89</v>
      </c>
      <c r="D127" s="15">
        <v>105.44</v>
      </c>
      <c r="E127" s="22">
        <f t="shared" si="5"/>
        <v>-6.5465799645447853E-2</v>
      </c>
      <c r="F127" s="22">
        <f t="shared" si="6"/>
        <v>7.5803649000869555E-3</v>
      </c>
      <c r="G127" s="22">
        <f t="shared" si="7"/>
        <v>-0.10156782549420584</v>
      </c>
      <c r="H127" s="20">
        <f>MAX($B$4:B127)</f>
        <v>124752.53</v>
      </c>
      <c r="I127" s="18">
        <f t="shared" si="4"/>
        <v>0.58675615238706236</v>
      </c>
      <c r="J127" s="19">
        <f>MAX($C$4:C127)</f>
        <v>713.44</v>
      </c>
      <c r="K127" s="18">
        <f>(J127/C127)-1</f>
        <v>0.53795080730345579</v>
      </c>
      <c r="L127">
        <f>MAX($D$4:D127)</f>
        <v>234.86</v>
      </c>
      <c r="M127" s="18">
        <f>(L127/D127)-1</f>
        <v>1.2274279210925645</v>
      </c>
    </row>
    <row r="128" spans="1:13" ht="15.5" x14ac:dyDescent="0.35">
      <c r="A128" s="54">
        <v>46054</v>
      </c>
      <c r="B128" s="21">
        <v>76974.44</v>
      </c>
      <c r="C128" s="15">
        <v>404.95</v>
      </c>
      <c r="D128" s="15">
        <v>100.85</v>
      </c>
      <c r="E128" s="22">
        <f t="shared" si="5"/>
        <v>-2.0944374863188786E-2</v>
      </c>
      <c r="F128" s="22">
        <f t="shared" si="6"/>
        <v>-0.12705598309944166</v>
      </c>
      <c r="G128" s="22">
        <f t="shared" si="7"/>
        <v>-4.353186646433993E-2</v>
      </c>
      <c r="H128" s="20">
        <f>MAX($B$4:B128)</f>
        <v>124752.53</v>
      </c>
      <c r="I128" s="18">
        <f t="shared" si="4"/>
        <v>0.62070071571810059</v>
      </c>
      <c r="J128" s="19">
        <f>MAX($C$4:C128)</f>
        <v>713.44</v>
      </c>
      <c r="K128" s="18">
        <f>(J128/C128)-1</f>
        <v>0.76179775280898898</v>
      </c>
      <c r="L128">
        <f>MAX($D$4:D128)</f>
        <v>234.86</v>
      </c>
      <c r="M128" s="18">
        <f>(L128/D128)-1</f>
        <v>1.3288051561725336</v>
      </c>
    </row>
    <row r="129" spans="1:13" ht="15.5" x14ac:dyDescent="0.35">
      <c r="A129" s="54">
        <v>46055</v>
      </c>
      <c r="B129" s="21">
        <v>78688.759999999995</v>
      </c>
      <c r="C129" s="15">
        <v>386.89</v>
      </c>
      <c r="D129" s="15">
        <v>104.47</v>
      </c>
      <c r="E129" s="22">
        <f t="shared" si="5"/>
        <v>2.2271289014898832E-2</v>
      </c>
      <c r="F129" s="22">
        <f t="shared" si="6"/>
        <v>-4.4598098530682861E-2</v>
      </c>
      <c r="G129" s="22">
        <f t="shared" si="7"/>
        <v>3.5894893406048567E-2</v>
      </c>
      <c r="H129" s="20">
        <f>MAX($B$4:B129)</f>
        <v>124752.53</v>
      </c>
      <c r="I129" s="18">
        <f t="shared" si="4"/>
        <v>0.58539199245228923</v>
      </c>
      <c r="J129" s="19">
        <f>MAX($C$4:C129)</f>
        <v>713.44</v>
      </c>
      <c r="K129" s="18">
        <f>(J129/C129)-1</f>
        <v>0.84403835715578102</v>
      </c>
      <c r="L129">
        <f>MAX($D$4:D129)</f>
        <v>234.86</v>
      </c>
      <c r="M129" s="18">
        <f>(L129/D129)-1</f>
        <v>1.2481095051210875</v>
      </c>
    </row>
    <row r="130" spans="1:13" ht="15.5" x14ac:dyDescent="0.35">
      <c r="A130" s="54">
        <v>46056</v>
      </c>
      <c r="B130" s="21">
        <v>75633.55</v>
      </c>
      <c r="C130" s="15">
        <v>374.59</v>
      </c>
      <c r="D130" s="15">
        <v>97.56</v>
      </c>
      <c r="E130" s="22">
        <f t="shared" si="5"/>
        <v>-3.8826510927354674E-2</v>
      </c>
      <c r="F130" s="22">
        <f t="shared" si="6"/>
        <v>-3.1791982217167725E-2</v>
      </c>
      <c r="G130" s="22">
        <f t="shared" si="7"/>
        <v>-6.6143390447018224E-2</v>
      </c>
      <c r="H130" s="20">
        <f>MAX($B$4:B130)</f>
        <v>124752.53</v>
      </c>
      <c r="I130" s="18">
        <f t="shared" si="4"/>
        <v>0.64943374996942493</v>
      </c>
      <c r="J130" s="19">
        <f>MAX($C$4:C130)</f>
        <v>713.44</v>
      </c>
      <c r="K130" s="18">
        <f>(J130/C130)-1</f>
        <v>0.9045890173256097</v>
      </c>
      <c r="L130">
        <f>MAX($D$4:D130)</f>
        <v>234.86</v>
      </c>
      <c r="M130" s="18">
        <f>(L130/D130)-1</f>
        <v>1.4073390733907338</v>
      </c>
    </row>
    <row r="131" spans="1:13" ht="15.5" x14ac:dyDescent="0.35">
      <c r="A131" s="54">
        <v>46057</v>
      </c>
      <c r="B131" s="21">
        <v>73019.7</v>
      </c>
      <c r="C131" s="15">
        <v>382.41</v>
      </c>
      <c r="D131" s="15">
        <v>92.03</v>
      </c>
      <c r="E131" s="22">
        <f t="shared" si="5"/>
        <v>-3.4559398573781208E-2</v>
      </c>
      <c r="F131" s="22">
        <f t="shared" si="6"/>
        <v>2.0876157932673278E-2</v>
      </c>
      <c r="G131" s="22">
        <f t="shared" si="7"/>
        <v>-5.6683066830668372E-2</v>
      </c>
      <c r="H131" s="20">
        <f>MAX($B$4:B131)</f>
        <v>124752.53</v>
      </c>
      <c r="I131" s="18">
        <f t="shared" si="4"/>
        <v>0.70847771217904221</v>
      </c>
      <c r="J131" s="19">
        <f>MAX($C$4:C131)</f>
        <v>713.44</v>
      </c>
      <c r="K131" s="18">
        <f>(J131/C131)-1</f>
        <v>0.86564158887058396</v>
      </c>
      <c r="L131">
        <f>MAX($D$4:D131)</f>
        <v>234.86</v>
      </c>
      <c r="M131" s="18">
        <f>(L131/D131)-1</f>
        <v>1.5519939150277087</v>
      </c>
    </row>
    <row r="132" spans="1:13" ht="15.5" x14ac:dyDescent="0.35">
      <c r="A132" s="54">
        <v>46058</v>
      </c>
      <c r="B132" s="21">
        <v>62702.1</v>
      </c>
      <c r="C132" s="15">
        <v>292.44</v>
      </c>
      <c r="D132" s="15">
        <v>78.19</v>
      </c>
      <c r="E132" s="22">
        <f t="shared" si="5"/>
        <v>-0.14129885496653638</v>
      </c>
      <c r="F132" s="22">
        <f t="shared" si="6"/>
        <v>-0.23527104416725508</v>
      </c>
      <c r="G132" s="22">
        <f t="shared" si="7"/>
        <v>-0.15038574377920244</v>
      </c>
      <c r="H132" s="20">
        <f>MAX($B$4:B132)</f>
        <v>124752.53</v>
      </c>
      <c r="I132" s="18">
        <f t="shared" si="4"/>
        <v>0.98960688716964818</v>
      </c>
      <c r="J132" s="19">
        <f>MAX($C$4:C132)</f>
        <v>713.44</v>
      </c>
      <c r="K132" s="18">
        <f>(J132/C132)-1</f>
        <v>1.4396115442483932</v>
      </c>
      <c r="L132">
        <f>MAX($D$4:D132)</f>
        <v>234.86</v>
      </c>
      <c r="M132" s="18">
        <f>(L132/D132)-1</f>
        <v>2.0037089141833997</v>
      </c>
    </row>
    <row r="133" spans="1:13" ht="15.5" x14ac:dyDescent="0.35">
      <c r="A133" s="54">
        <v>46059</v>
      </c>
      <c r="B133" s="21">
        <v>70555.39</v>
      </c>
      <c r="C133" s="15">
        <v>321.5</v>
      </c>
      <c r="D133" s="15">
        <v>87.46</v>
      </c>
      <c r="E133" s="22">
        <f t="shared" si="5"/>
        <v>0.12524763923377358</v>
      </c>
      <c r="F133" s="22">
        <f t="shared" si="6"/>
        <v>9.9370811106551882E-2</v>
      </c>
      <c r="G133" s="22">
        <f t="shared" si="7"/>
        <v>0.11855736027625019</v>
      </c>
      <c r="H133" s="20">
        <f>MAX($B$4:B133)</f>
        <v>124752.53</v>
      </c>
      <c r="I133" s="18">
        <f t="shared" ref="I133:I196" si="8">(H133/B133)-1</f>
        <v>0.76815024337616156</v>
      </c>
      <c r="J133" s="19">
        <f>MAX($C$4:C133)</f>
        <v>713.44</v>
      </c>
      <c r="K133" s="18">
        <f>(J133/C133)-1</f>
        <v>1.2190979782270608</v>
      </c>
      <c r="L133">
        <f>MAX($D$4:D133)</f>
        <v>234.86</v>
      </c>
      <c r="M133" s="18">
        <f>(L133/D133)-1</f>
        <v>1.6853418705694034</v>
      </c>
    </row>
    <row r="134" spans="1:13" ht="15.5" x14ac:dyDescent="0.35">
      <c r="A134" s="54">
        <v>46060</v>
      </c>
      <c r="B134" s="21">
        <v>69281.97</v>
      </c>
      <c r="C134" s="15">
        <v>329.64</v>
      </c>
      <c r="D134" s="15">
        <v>87.64</v>
      </c>
      <c r="E134" s="22">
        <f t="shared" ref="E134:E197" si="9">(B134/B133)-1</f>
        <v>-1.8048514791003223E-2</v>
      </c>
      <c r="F134" s="22">
        <f t="shared" ref="F134:F197" si="10">(C134/C133)-1</f>
        <v>2.5318818040435342E-2</v>
      </c>
      <c r="G134" s="22">
        <f t="shared" ref="G134:G197" si="11">(D134/D133)-1</f>
        <v>2.0580836954036119E-3</v>
      </c>
      <c r="H134" s="20">
        <f>MAX($B$4:B134)</f>
        <v>124752.53</v>
      </c>
      <c r="I134" s="18">
        <f t="shared" si="8"/>
        <v>0.80064928869661189</v>
      </c>
      <c r="J134" s="19">
        <f>MAX($C$4:C134)</f>
        <v>713.44</v>
      </c>
      <c r="K134" s="18">
        <f>(J134/C134)-1</f>
        <v>1.1643004489746391</v>
      </c>
      <c r="L134">
        <f>MAX($D$4:D134)</f>
        <v>234.86</v>
      </c>
      <c r="M134" s="18">
        <f>(L134/D134)-1</f>
        <v>1.6798265632131448</v>
      </c>
    </row>
    <row r="135" spans="1:13" ht="15.5" x14ac:dyDescent="0.35">
      <c r="A135" s="54">
        <v>46061</v>
      </c>
      <c r="B135" s="21">
        <v>70264.72</v>
      </c>
      <c r="C135" s="15">
        <v>318.33</v>
      </c>
      <c r="D135" s="15">
        <v>87.04</v>
      </c>
      <c r="E135" s="22">
        <f t="shared" si="9"/>
        <v>1.4184787182004222E-2</v>
      </c>
      <c r="F135" s="22">
        <f t="shared" si="10"/>
        <v>-3.4310156534401171E-2</v>
      </c>
      <c r="G135" s="22">
        <f t="shared" si="11"/>
        <v>-6.8461889548150356E-3</v>
      </c>
      <c r="H135" s="20">
        <f>MAX($B$4:B135)</f>
        <v>124752.53</v>
      </c>
      <c r="I135" s="18">
        <f t="shared" si="8"/>
        <v>0.77546469978105659</v>
      </c>
      <c r="J135" s="19">
        <f>MAX($C$4:C135)</f>
        <v>713.44</v>
      </c>
      <c r="K135" s="18">
        <f>(J135/C135)-1</f>
        <v>1.2411962428925962</v>
      </c>
      <c r="L135">
        <f>MAX($D$4:D135)</f>
        <v>234.86</v>
      </c>
      <c r="M135" s="18">
        <f>(L135/D135)-1</f>
        <v>1.6982996323529411</v>
      </c>
    </row>
    <row r="136" spans="1:13" ht="15.5" x14ac:dyDescent="0.35">
      <c r="A136" s="54">
        <v>46062</v>
      </c>
      <c r="B136" s="21">
        <v>70120.78</v>
      </c>
      <c r="C136" s="15">
        <v>334.91</v>
      </c>
      <c r="D136" s="15">
        <v>86.7</v>
      </c>
      <c r="E136" s="22">
        <f t="shared" si="9"/>
        <v>-2.0485387261203192E-3</v>
      </c>
      <c r="F136" s="22">
        <f t="shared" si="10"/>
        <v>5.2084315019005567E-2</v>
      </c>
      <c r="G136" s="22">
        <f t="shared" si="11"/>
        <v>-3.90625E-3</v>
      </c>
      <c r="H136" s="20">
        <f>MAX($B$4:B136)</f>
        <v>124752.53</v>
      </c>
      <c r="I136" s="18">
        <f t="shared" si="8"/>
        <v>0.77910927402690056</v>
      </c>
      <c r="J136" s="19">
        <f>MAX($C$4:C136)</f>
        <v>713.44</v>
      </c>
      <c r="K136" s="18">
        <f>(J136/C136)-1</f>
        <v>1.1302439461347826</v>
      </c>
      <c r="L136">
        <f>MAX($D$4:D136)</f>
        <v>234.86</v>
      </c>
      <c r="M136" s="18">
        <f>(L136/D136)-1</f>
        <v>1.7088811995386393</v>
      </c>
    </row>
    <row r="137" spans="1:13" ht="15.5" x14ac:dyDescent="0.35">
      <c r="A137" s="54">
        <v>46063</v>
      </c>
      <c r="B137" s="21">
        <v>68793.960000000006</v>
      </c>
      <c r="C137" s="15">
        <v>344.93</v>
      </c>
      <c r="D137" s="15">
        <v>82.92</v>
      </c>
      <c r="E137" s="22">
        <f t="shared" si="9"/>
        <v>-1.8921923001997354E-2</v>
      </c>
      <c r="F137" s="22">
        <f t="shared" si="10"/>
        <v>2.9918485563285691E-2</v>
      </c>
      <c r="G137" s="22">
        <f t="shared" si="11"/>
        <v>-4.3598615916955019E-2</v>
      </c>
      <c r="H137" s="20">
        <f>MAX($B$4:B137)</f>
        <v>124752.53</v>
      </c>
      <c r="I137" s="18">
        <f t="shared" si="8"/>
        <v>0.8134227190875476</v>
      </c>
      <c r="J137" s="19">
        <f>MAX($C$4:C137)</f>
        <v>713.44</v>
      </c>
      <c r="K137" s="18">
        <f>(J137/C137)-1</f>
        <v>1.0683616965761171</v>
      </c>
      <c r="L137">
        <f>MAX($D$4:D137)</f>
        <v>234.86</v>
      </c>
      <c r="M137" s="18">
        <f>(L137/D137)-1</f>
        <v>1.8323685479980707</v>
      </c>
    </row>
    <row r="138" spans="1:13" ht="15.5" x14ac:dyDescent="0.35">
      <c r="A138" s="54">
        <v>46064</v>
      </c>
      <c r="B138" s="21">
        <v>66991.97</v>
      </c>
      <c r="C138" s="15">
        <v>346.1</v>
      </c>
      <c r="D138" s="15">
        <v>79.25</v>
      </c>
      <c r="E138" s="22">
        <f t="shared" si="9"/>
        <v>-2.619401470710514E-2</v>
      </c>
      <c r="F138" s="22">
        <f t="shared" si="10"/>
        <v>3.3919925782042171E-3</v>
      </c>
      <c r="G138" s="22">
        <f t="shared" si="11"/>
        <v>-4.4259527255185782E-2</v>
      </c>
      <c r="H138" s="20">
        <f>MAX($B$4:B138)</f>
        <v>124752.53</v>
      </c>
      <c r="I138" s="18">
        <f t="shared" si="8"/>
        <v>0.86220124591051728</v>
      </c>
      <c r="J138" s="19">
        <f>MAX($C$4:C138)</f>
        <v>713.44</v>
      </c>
      <c r="K138" s="18">
        <f>(J138/C138)-1</f>
        <v>1.0613695463738804</v>
      </c>
      <c r="L138">
        <f>MAX($D$4:D138)</f>
        <v>234.86</v>
      </c>
      <c r="M138" s="18">
        <f>(L138/D138)-1</f>
        <v>1.9635331230283914</v>
      </c>
    </row>
    <row r="139" spans="1:13" ht="15.5" x14ac:dyDescent="0.35">
      <c r="A139" s="54">
        <v>46065</v>
      </c>
      <c r="B139" s="21">
        <v>66221.84</v>
      </c>
      <c r="C139" s="15">
        <v>335.32</v>
      </c>
      <c r="D139" s="15">
        <v>78.349999999999994</v>
      </c>
      <c r="E139" s="22">
        <f t="shared" si="9"/>
        <v>-1.1495855398788946E-2</v>
      </c>
      <c r="F139" s="22">
        <f t="shared" si="10"/>
        <v>-3.1147067321583455E-2</v>
      </c>
      <c r="G139" s="22">
        <f t="shared" si="11"/>
        <v>-1.1356466876971671E-2</v>
      </c>
      <c r="H139" s="20">
        <f>MAX($B$4:B139)</f>
        <v>124752.53</v>
      </c>
      <c r="I139" s="18">
        <f t="shared" si="8"/>
        <v>0.88385780280342563</v>
      </c>
      <c r="J139" s="19">
        <f>MAX($C$4:C139)</f>
        <v>713.44</v>
      </c>
      <c r="K139" s="18">
        <f>(J139/C139)-1</f>
        <v>1.1276392699510915</v>
      </c>
      <c r="L139">
        <f>MAX($D$4:D139)</f>
        <v>234.86</v>
      </c>
      <c r="M139" s="18">
        <f>(L139/D139)-1</f>
        <v>1.997574984045948</v>
      </c>
    </row>
    <row r="140" spans="1:13" ht="15.5" x14ac:dyDescent="0.35">
      <c r="A140" s="54">
        <v>46066</v>
      </c>
      <c r="B140" s="21">
        <v>68857.84</v>
      </c>
      <c r="C140" s="15">
        <v>352.18</v>
      </c>
      <c r="D140" s="15">
        <v>84.32</v>
      </c>
      <c r="E140" s="22">
        <f t="shared" si="9"/>
        <v>3.9805598877953319E-2</v>
      </c>
      <c r="F140" s="22">
        <f t="shared" si="10"/>
        <v>5.0280329237743171E-2</v>
      </c>
      <c r="G140" s="22">
        <f t="shared" si="11"/>
        <v>7.619655392469693E-2</v>
      </c>
      <c r="H140" s="20">
        <f>MAX($B$4:B140)</f>
        <v>124752.53</v>
      </c>
      <c r="I140" s="18">
        <f t="shared" si="8"/>
        <v>0.81174039150806943</v>
      </c>
      <c r="J140" s="19">
        <f>MAX($C$4:C140)</f>
        <v>713.44</v>
      </c>
      <c r="K140" s="18">
        <f>(J140/C140)-1</f>
        <v>1.025782270429894</v>
      </c>
      <c r="L140">
        <f>MAX($D$4:D140)</f>
        <v>234.86</v>
      </c>
      <c r="M140" s="18">
        <f>(L140/D140)-1</f>
        <v>1.7853415559772299</v>
      </c>
    </row>
    <row r="141" spans="1:13" ht="15.5" x14ac:dyDescent="0.35">
      <c r="A141" s="54">
        <v>46067</v>
      </c>
      <c r="B141" s="21">
        <v>69767.62</v>
      </c>
      <c r="C141" s="15">
        <v>357.67</v>
      </c>
      <c r="D141" s="15">
        <v>88.16</v>
      </c>
      <c r="E141" s="22">
        <f t="shared" si="9"/>
        <v>1.3212438845017438E-2</v>
      </c>
      <c r="F141" s="22">
        <f t="shared" si="10"/>
        <v>1.5588619455960018E-2</v>
      </c>
      <c r="G141" s="22">
        <f t="shared" si="11"/>
        <v>4.5540796963946972E-2</v>
      </c>
      <c r="H141" s="20">
        <f>MAX($B$4:B141)</f>
        <v>124752.53</v>
      </c>
      <c r="I141" s="18">
        <f t="shared" si="8"/>
        <v>0.78811503101295433</v>
      </c>
      <c r="J141" s="19">
        <f>MAX($C$4:C141)</f>
        <v>713.44</v>
      </c>
      <c r="K141" s="18">
        <f>(J141/C141)-1</f>
        <v>0.99468784074705741</v>
      </c>
      <c r="L141">
        <f>MAX($D$4:D141)</f>
        <v>234.86</v>
      </c>
      <c r="M141" s="18">
        <f>(L141/D141)-1</f>
        <v>1.6640199637023594</v>
      </c>
    </row>
    <row r="142" spans="1:13" ht="15.5" x14ac:dyDescent="0.35">
      <c r="A142" s="54">
        <v>46068</v>
      </c>
      <c r="B142" s="21">
        <v>68788.19</v>
      </c>
      <c r="C142" s="15">
        <v>331.25</v>
      </c>
      <c r="D142" s="15">
        <v>86.01</v>
      </c>
      <c r="E142" s="22">
        <f t="shared" si="9"/>
        <v>-1.4038460821796606E-2</v>
      </c>
      <c r="F142" s="22">
        <f t="shared" si="10"/>
        <v>-7.3866972348813231E-2</v>
      </c>
      <c r="G142" s="22">
        <f t="shared" si="11"/>
        <v>-2.4387477313974504E-2</v>
      </c>
      <c r="H142" s="20">
        <f>MAX($B$4:B142)</f>
        <v>124752.53</v>
      </c>
      <c r="I142" s="18">
        <f t="shared" si="8"/>
        <v>0.81357483021431443</v>
      </c>
      <c r="J142" s="19">
        <f>MAX($C$4:C142)</f>
        <v>713.44</v>
      </c>
      <c r="K142" s="18">
        <f>(J142/C142)-1</f>
        <v>1.1537811320754718</v>
      </c>
      <c r="L142">
        <f>MAX($D$4:D142)</f>
        <v>234.86</v>
      </c>
      <c r="M142" s="18">
        <f>(L142/D142)-1</f>
        <v>1.7306127194512264</v>
      </c>
    </row>
    <row r="143" spans="1:13" ht="15.5" x14ac:dyDescent="0.35">
      <c r="A143" s="54">
        <v>46069</v>
      </c>
      <c r="B143" s="21">
        <v>68843.149999999994</v>
      </c>
      <c r="C143" s="15">
        <v>326.44</v>
      </c>
      <c r="D143" s="15">
        <v>86.43</v>
      </c>
      <c r="E143" s="22">
        <f t="shared" si="9"/>
        <v>7.9897435882503309E-4</v>
      </c>
      <c r="F143" s="22">
        <f t="shared" si="10"/>
        <v>-1.452075471698111E-2</v>
      </c>
      <c r="G143" s="22">
        <f t="shared" si="11"/>
        <v>4.8831531217301549E-3</v>
      </c>
      <c r="H143" s="20">
        <f>MAX($B$4:B143)</f>
        <v>124752.53</v>
      </c>
      <c r="I143" s="18">
        <f t="shared" si="8"/>
        <v>0.81212698721659327</v>
      </c>
      <c r="J143" s="19">
        <f>MAX($C$4:C143)</f>
        <v>713.44</v>
      </c>
      <c r="K143" s="18">
        <f>(J143/C143)-1</f>
        <v>1.1855164808234289</v>
      </c>
      <c r="L143">
        <f>MAX($D$4:D143)</f>
        <v>234.86</v>
      </c>
      <c r="M143" s="18">
        <f>(L143/D143)-1</f>
        <v>1.7173435149832232</v>
      </c>
    </row>
    <row r="144" spans="1:13" ht="15.5" x14ac:dyDescent="0.35">
      <c r="A144" s="54">
        <v>46070</v>
      </c>
      <c r="B144" s="21">
        <v>67494.22</v>
      </c>
      <c r="C144" s="15">
        <v>333.04</v>
      </c>
      <c r="D144" s="15">
        <v>85.2</v>
      </c>
      <c r="E144" s="22">
        <f t="shared" si="9"/>
        <v>-1.9594251570417609E-2</v>
      </c>
      <c r="F144" s="22">
        <f t="shared" si="10"/>
        <v>2.0218110525670907E-2</v>
      </c>
      <c r="G144" s="22">
        <f t="shared" si="11"/>
        <v>-1.4231169732731752E-2</v>
      </c>
      <c r="H144" s="20">
        <f>MAX($B$4:B144)</f>
        <v>124752.53</v>
      </c>
      <c r="I144" s="18">
        <f t="shared" si="8"/>
        <v>0.84834390263344028</v>
      </c>
      <c r="J144" s="19">
        <f>MAX($C$4:C144)</f>
        <v>713.44</v>
      </c>
      <c r="K144" s="18">
        <f>(J144/C144)-1</f>
        <v>1.1422051405236608</v>
      </c>
      <c r="L144">
        <f>MAX($D$4:D144)</f>
        <v>234.86</v>
      </c>
      <c r="M144" s="18">
        <f>(L144/D144)-1</f>
        <v>1.7565727699530518</v>
      </c>
    </row>
    <row r="145" spans="1:13" ht="15.5" x14ac:dyDescent="0.35">
      <c r="A145" s="54">
        <v>46071</v>
      </c>
      <c r="B145" s="21">
        <v>66425.320000000007</v>
      </c>
      <c r="C145" s="15">
        <v>330.25</v>
      </c>
      <c r="D145" s="15">
        <v>81.569999999999993</v>
      </c>
      <c r="E145" s="22">
        <f t="shared" si="9"/>
        <v>-1.5836911664435793E-2</v>
      </c>
      <c r="F145" s="22">
        <f t="shared" si="10"/>
        <v>-8.3773720874370516E-3</v>
      </c>
      <c r="G145" s="22">
        <f t="shared" si="11"/>
        <v>-4.2605633802817011E-2</v>
      </c>
      <c r="H145" s="20">
        <f>MAX($B$4:B145)</f>
        <v>124752.53</v>
      </c>
      <c r="I145" s="18">
        <f t="shared" si="8"/>
        <v>0.87808700055942501</v>
      </c>
      <c r="J145" s="19">
        <f>MAX($C$4:C145)</f>
        <v>713.44</v>
      </c>
      <c r="K145" s="18">
        <f>(J145/C145)-1</f>
        <v>1.1603028009084029</v>
      </c>
      <c r="L145">
        <f>MAX($D$4:D145)</f>
        <v>234.86</v>
      </c>
      <c r="M145" s="18">
        <f>(L145/D145)-1</f>
        <v>1.879244820399657</v>
      </c>
    </row>
    <row r="146" spans="1:13" ht="15.5" x14ac:dyDescent="0.35">
      <c r="A146" s="54">
        <v>46072</v>
      </c>
      <c r="B146" s="21">
        <v>66957.52</v>
      </c>
      <c r="C146" s="15">
        <v>338.08</v>
      </c>
      <c r="D146" s="15">
        <v>82.39</v>
      </c>
      <c r="E146" s="22">
        <f t="shared" si="9"/>
        <v>8.0120050607208615E-3</v>
      </c>
      <c r="F146" s="22">
        <f t="shared" si="10"/>
        <v>2.3709311127933397E-2</v>
      </c>
      <c r="G146" s="22">
        <f t="shared" si="11"/>
        <v>1.0052715459115014E-2</v>
      </c>
      <c r="H146" s="20">
        <f>MAX($B$4:B146)</f>
        <v>124752.53</v>
      </c>
      <c r="I146" s="18">
        <f t="shared" si="8"/>
        <v>0.86315935835138435</v>
      </c>
      <c r="J146" s="19">
        <f>MAX($C$4:C146)</f>
        <v>713.44</v>
      </c>
      <c r="K146" s="18">
        <f>(J146/C146)-1</f>
        <v>1.1102697586370094</v>
      </c>
      <c r="L146">
        <f>MAX($D$4:D146)</f>
        <v>234.86</v>
      </c>
      <c r="M146" s="18">
        <f>(L146/D146)-1</f>
        <v>1.850588663672776</v>
      </c>
    </row>
    <row r="147" spans="1:13" ht="15.5" x14ac:dyDescent="0.35">
      <c r="A147" s="54">
        <v>46073</v>
      </c>
      <c r="B147" s="21">
        <v>68005.42</v>
      </c>
      <c r="C147" s="15">
        <v>331.6</v>
      </c>
      <c r="D147" s="15">
        <v>84.64</v>
      </c>
      <c r="E147" s="22">
        <f t="shared" si="9"/>
        <v>1.5650221214883686E-2</v>
      </c>
      <c r="F147" s="22">
        <f t="shared" si="10"/>
        <v>-1.9167061050638812E-2</v>
      </c>
      <c r="G147" s="22">
        <f t="shared" si="11"/>
        <v>2.7309139458672194E-2</v>
      </c>
      <c r="H147" s="20">
        <f>MAX($B$4:B147)</f>
        <v>124752.53</v>
      </c>
      <c r="I147" s="18">
        <f t="shared" si="8"/>
        <v>0.83444981297078979</v>
      </c>
      <c r="J147" s="19">
        <f>MAX($C$4:C147)</f>
        <v>713.44</v>
      </c>
      <c r="K147" s="18">
        <f>(J147/C147)-1</f>
        <v>1.1515078407720143</v>
      </c>
      <c r="L147">
        <f>MAX($D$4:D147)</f>
        <v>234.86</v>
      </c>
      <c r="M147" s="18">
        <f>(L147/D147)-1</f>
        <v>1.774810964083176</v>
      </c>
    </row>
    <row r="148" spans="1:13" ht="15.5" x14ac:dyDescent="0.35">
      <c r="A148" s="54">
        <v>46074</v>
      </c>
      <c r="B148" s="21">
        <v>68003.759999999995</v>
      </c>
      <c r="C148" s="15">
        <v>326.57</v>
      </c>
      <c r="D148" s="15">
        <v>85.21</v>
      </c>
      <c r="E148" s="22">
        <f t="shared" si="9"/>
        <v>-2.4409819099791008E-5</v>
      </c>
      <c r="F148" s="22">
        <f t="shared" si="10"/>
        <v>-1.5168878166465727E-2</v>
      </c>
      <c r="G148" s="22">
        <f t="shared" si="11"/>
        <v>6.7344045368620264E-3</v>
      </c>
      <c r="H148" s="20">
        <f>MAX($B$4:B148)</f>
        <v>124752.53</v>
      </c>
      <c r="I148" s="18">
        <f t="shared" si="8"/>
        <v>0.83449459265193582</v>
      </c>
      <c r="J148" s="19">
        <f>MAX($C$4:C148)</f>
        <v>713.44</v>
      </c>
      <c r="K148" s="18">
        <f>(J148/C148)-1</f>
        <v>1.1846464770187097</v>
      </c>
      <c r="L148">
        <f>MAX($D$4:D148)</f>
        <v>234.86</v>
      </c>
      <c r="M148" s="18">
        <f>(L148/D148)-1</f>
        <v>1.7562492665180147</v>
      </c>
    </row>
    <row r="149" spans="1:13" ht="15.5" x14ac:dyDescent="0.35">
      <c r="A149" s="54">
        <v>46075</v>
      </c>
      <c r="B149" s="21">
        <v>67659.39</v>
      </c>
      <c r="C149" s="15">
        <v>327.83</v>
      </c>
      <c r="D149" s="15">
        <v>82.79</v>
      </c>
      <c r="E149" s="22">
        <f t="shared" si="9"/>
        <v>-5.0639846973166147E-3</v>
      </c>
      <c r="F149" s="22">
        <f t="shared" si="10"/>
        <v>3.8582845944208355E-3</v>
      </c>
      <c r="G149" s="22">
        <f t="shared" si="11"/>
        <v>-2.8400422485623578E-2</v>
      </c>
      <c r="H149" s="20">
        <f>MAX($B$4:B149)</f>
        <v>124752.53</v>
      </c>
      <c r="I149" s="18">
        <f t="shared" si="8"/>
        <v>0.84383172830851705</v>
      </c>
      <c r="J149" s="19">
        <f>MAX($C$4:C149)</f>
        <v>713.44</v>
      </c>
      <c r="K149" s="18">
        <f>(J149/C149)-1</f>
        <v>1.1762498856114454</v>
      </c>
      <c r="L149">
        <f>MAX($D$4:D149)</f>
        <v>234.86</v>
      </c>
      <c r="M149" s="18">
        <f>(L149/D149)-1</f>
        <v>1.8368160405846115</v>
      </c>
    </row>
    <row r="150" spans="1:13" ht="15.5" x14ac:dyDescent="0.35">
      <c r="A150" s="54">
        <v>46076</v>
      </c>
      <c r="B150" s="21">
        <v>64616.74</v>
      </c>
      <c r="C150" s="15">
        <v>307.27</v>
      </c>
      <c r="D150" s="15">
        <v>77.75</v>
      </c>
      <c r="E150" s="22">
        <f t="shared" si="9"/>
        <v>-4.497010688390779E-2</v>
      </c>
      <c r="F150" s="22">
        <f t="shared" si="10"/>
        <v>-6.2715431778665787E-2</v>
      </c>
      <c r="G150" s="22">
        <f t="shared" si="11"/>
        <v>-6.0876917502113881E-2</v>
      </c>
      <c r="H150" s="20">
        <f>MAX($B$4:B150)</f>
        <v>124752.53</v>
      </c>
      <c r="I150" s="18">
        <f t="shared" si="8"/>
        <v>0.93065341891280817</v>
      </c>
      <c r="J150" s="19">
        <f>MAX($C$4:C150)</f>
        <v>713.44</v>
      </c>
      <c r="K150" s="18">
        <f>(J150/C150)-1</f>
        <v>1.3218667621310249</v>
      </c>
      <c r="L150">
        <f>MAX($D$4:D150)</f>
        <v>234.86</v>
      </c>
      <c r="M150" s="18">
        <f>(L150/D150)-1</f>
        <v>2.0207073954983925</v>
      </c>
    </row>
    <row r="151" spans="1:13" ht="15.5" x14ac:dyDescent="0.35">
      <c r="A151" s="54">
        <v>46077</v>
      </c>
      <c r="B151" s="21">
        <v>64080.04</v>
      </c>
      <c r="C151" s="15">
        <v>321.33</v>
      </c>
      <c r="D151" s="15">
        <v>79.040000000000006</v>
      </c>
      <c r="E151" s="22">
        <f t="shared" si="9"/>
        <v>-8.3058972024896427E-3</v>
      </c>
      <c r="F151" s="22">
        <f t="shared" si="10"/>
        <v>4.5757802584046603E-2</v>
      </c>
      <c r="G151" s="22">
        <f t="shared" si="11"/>
        <v>1.6591639871382791E-2</v>
      </c>
      <c r="H151" s="20">
        <f>MAX($B$4:B151)</f>
        <v>124752.53</v>
      </c>
      <c r="I151" s="18">
        <f t="shared" si="8"/>
        <v>0.94682353506645756</v>
      </c>
      <c r="J151" s="19">
        <f>MAX($C$4:C151)</f>
        <v>713.44</v>
      </c>
      <c r="K151" s="18">
        <f>(J151/C151)-1</f>
        <v>1.2202719945227649</v>
      </c>
      <c r="L151">
        <f>MAX($D$4:D151)</f>
        <v>234.86</v>
      </c>
      <c r="M151" s="18">
        <f>(L151/D151)-1</f>
        <v>1.9714068825910931</v>
      </c>
    </row>
    <row r="152" spans="1:13" ht="15.5" x14ac:dyDescent="0.35">
      <c r="A152" s="54">
        <v>46078</v>
      </c>
      <c r="B152" s="21">
        <v>67960.12</v>
      </c>
      <c r="C152" s="15">
        <v>344.5</v>
      </c>
      <c r="D152" s="15">
        <v>87.92</v>
      </c>
      <c r="E152" s="22">
        <f t="shared" si="9"/>
        <v>6.0550524000921202E-2</v>
      </c>
      <c r="F152" s="22">
        <f t="shared" si="10"/>
        <v>7.2106557121961901E-2</v>
      </c>
      <c r="G152" s="22">
        <f t="shared" si="11"/>
        <v>0.11234817813765186</v>
      </c>
      <c r="H152" s="20">
        <f>MAX($B$4:B152)</f>
        <v>124752.53</v>
      </c>
      <c r="I152" s="18">
        <f t="shared" si="8"/>
        <v>0.83567259739976918</v>
      </c>
      <c r="J152" s="19">
        <f>MAX($C$4:C152)</f>
        <v>713.44</v>
      </c>
      <c r="K152" s="18">
        <f>(J152/C152)-1</f>
        <v>1.0709433962264154</v>
      </c>
      <c r="L152">
        <f>MAX($D$4:D152)</f>
        <v>234.86</v>
      </c>
      <c r="M152" s="18">
        <f>(L152/D152)-1</f>
        <v>1.6712920837124661</v>
      </c>
    </row>
    <row r="153" spans="1:13" ht="15.5" x14ac:dyDescent="0.35">
      <c r="A153" s="54">
        <v>46079</v>
      </c>
      <c r="B153" s="21">
        <v>67453.77</v>
      </c>
      <c r="C153" s="15">
        <v>342.61</v>
      </c>
      <c r="D153" s="15">
        <v>85.91</v>
      </c>
      <c r="E153" s="22">
        <f t="shared" si="9"/>
        <v>-7.4506931418012456E-3</v>
      </c>
      <c r="F153" s="22">
        <f t="shared" si="10"/>
        <v>-5.4862119013061594E-3</v>
      </c>
      <c r="G153" s="22">
        <f t="shared" si="11"/>
        <v>-2.2861692447679771E-2</v>
      </c>
      <c r="H153" s="20">
        <f>MAX($B$4:B153)</f>
        <v>124752.53</v>
      </c>
      <c r="I153" s="18">
        <f t="shared" si="8"/>
        <v>0.84945229895971708</v>
      </c>
      <c r="J153" s="19">
        <f>MAX($C$4:C153)</f>
        <v>713.44</v>
      </c>
      <c r="K153" s="18">
        <f>(J153/C153)-1</f>
        <v>1.0823677067219286</v>
      </c>
      <c r="L153">
        <f>MAX($D$4:D153)</f>
        <v>234.86</v>
      </c>
      <c r="M153" s="18">
        <f>(L153/D153)-1</f>
        <v>1.7337911768129439</v>
      </c>
    </row>
    <row r="154" spans="1:13" ht="15.5" x14ac:dyDescent="0.35">
      <c r="A154" s="54">
        <v>46080</v>
      </c>
      <c r="B154" s="21">
        <v>65881.8</v>
      </c>
      <c r="C154" s="15">
        <v>337.76</v>
      </c>
      <c r="D154" s="15">
        <v>81.95</v>
      </c>
      <c r="E154" s="22">
        <f t="shared" si="9"/>
        <v>-2.3304405372746362E-2</v>
      </c>
      <c r="F154" s="22">
        <f t="shared" si="10"/>
        <v>-1.4156037477014771E-2</v>
      </c>
      <c r="G154" s="22">
        <f t="shared" si="11"/>
        <v>-4.6094750320102351E-2</v>
      </c>
      <c r="H154" s="20">
        <f>MAX($B$4:B154)</f>
        <v>124752.53</v>
      </c>
      <c r="I154" s="18">
        <f t="shared" si="8"/>
        <v>0.8935810800554933</v>
      </c>
      <c r="J154" s="19">
        <f>MAX($C$4:C154)</f>
        <v>713.44</v>
      </c>
      <c r="K154" s="18">
        <f>(J154/C154)-1</f>
        <v>1.1122690667929893</v>
      </c>
      <c r="L154">
        <f>MAX($D$4:D154)</f>
        <v>234.86</v>
      </c>
      <c r="M154" s="18">
        <f>(L154/D154)-1</f>
        <v>1.8658938377059182</v>
      </c>
    </row>
    <row r="155" spans="1:13" ht="15.5" x14ac:dyDescent="0.35">
      <c r="A155" s="54">
        <v>46081</v>
      </c>
      <c r="B155" s="21">
        <v>66995.86</v>
      </c>
      <c r="C155" s="15">
        <v>336.87</v>
      </c>
      <c r="D155" s="15">
        <v>84.37</v>
      </c>
      <c r="E155" s="22">
        <f t="shared" si="9"/>
        <v>1.6909981208770741E-2</v>
      </c>
      <c r="F155" s="22">
        <f t="shared" si="10"/>
        <v>-2.6350071056371327E-3</v>
      </c>
      <c r="G155" s="22">
        <f t="shared" si="11"/>
        <v>2.9530201342281792E-2</v>
      </c>
      <c r="H155" s="20">
        <f>MAX($B$4:B155)</f>
        <v>124752.53</v>
      </c>
      <c r="I155" s="18">
        <f t="shared" si="8"/>
        <v>0.86209312038087127</v>
      </c>
      <c r="J155" s="19">
        <f>MAX($C$4:C155)</f>
        <v>713.44</v>
      </c>
      <c r="K155" s="18">
        <f>(J155/C155)-1</f>
        <v>1.1178496155787099</v>
      </c>
      <c r="L155">
        <f>MAX($D$4:D155)</f>
        <v>234.86</v>
      </c>
      <c r="M155" s="18">
        <f>(L155/D155)-1</f>
        <v>1.7836908853858007</v>
      </c>
    </row>
    <row r="156" spans="1:13" ht="15.5" x14ac:dyDescent="0.35">
      <c r="A156" s="54">
        <v>46082</v>
      </c>
      <c r="B156" s="21">
        <v>65738.100000000006</v>
      </c>
      <c r="C156" s="15">
        <v>341.99</v>
      </c>
      <c r="D156" s="15">
        <v>83.58</v>
      </c>
      <c r="E156" s="22">
        <f t="shared" si="9"/>
        <v>-1.877369735980694E-2</v>
      </c>
      <c r="F156" s="22">
        <f t="shared" si="10"/>
        <v>1.5198741354231604E-2</v>
      </c>
      <c r="G156" s="22">
        <f t="shared" si="11"/>
        <v>-9.363517838094193E-3</v>
      </c>
      <c r="H156" s="20">
        <f>MAX($B$4:B156)</f>
        <v>124752.53</v>
      </c>
      <c r="I156" s="18">
        <f t="shared" si="8"/>
        <v>0.89772034786524091</v>
      </c>
      <c r="J156" s="19">
        <f>MAX($C$4:C156)</f>
        <v>713.44</v>
      </c>
      <c r="K156" s="18">
        <f>(J156/C156)-1</f>
        <v>1.0861428696745521</v>
      </c>
      <c r="L156">
        <f>MAX($D$4:D156)</f>
        <v>234.86</v>
      </c>
      <c r="M156" s="18">
        <f>(L156/D156)-1</f>
        <v>1.810002392916966</v>
      </c>
    </row>
    <row r="157" spans="1:13" ht="15.5" x14ac:dyDescent="0.35">
      <c r="A157" s="54">
        <v>46083</v>
      </c>
      <c r="B157" s="21">
        <v>68775.850000000006</v>
      </c>
      <c r="C157" s="15">
        <v>345.93</v>
      </c>
      <c r="D157" s="15">
        <v>86.63</v>
      </c>
      <c r="E157" s="22">
        <f t="shared" si="9"/>
        <v>4.6209884374510457E-2</v>
      </c>
      <c r="F157" s="22">
        <f t="shared" si="10"/>
        <v>1.1520804701891763E-2</v>
      </c>
      <c r="G157" s="22">
        <f t="shared" si="11"/>
        <v>3.6491983728164534E-2</v>
      </c>
      <c r="H157" s="20">
        <f>MAX($B$4:B157)</f>
        <v>124752.53</v>
      </c>
      <c r="I157" s="18">
        <f t="shared" si="8"/>
        <v>0.81390022805970386</v>
      </c>
      <c r="J157" s="19">
        <f>MAX($C$4:C157)</f>
        <v>713.44</v>
      </c>
      <c r="K157" s="18">
        <f>(J157/C157)-1</f>
        <v>1.0623825629462611</v>
      </c>
      <c r="L157">
        <f>MAX($D$4:D157)</f>
        <v>234.86</v>
      </c>
      <c r="M157" s="18">
        <f>(L157/D157)-1</f>
        <v>1.7110700681057374</v>
      </c>
    </row>
    <row r="158" spans="1:13" ht="15.5" x14ac:dyDescent="0.35">
      <c r="A158" s="54">
        <v>46084</v>
      </c>
      <c r="B158" s="21">
        <v>68293.649999999994</v>
      </c>
      <c r="C158" s="15">
        <v>340.9</v>
      </c>
      <c r="D158" s="15">
        <v>87.02</v>
      </c>
      <c r="E158" s="22">
        <f t="shared" si="9"/>
        <v>-7.0111819773948092E-3</v>
      </c>
      <c r="F158" s="22">
        <f t="shared" si="10"/>
        <v>-1.4540513976816216E-2</v>
      </c>
      <c r="G158" s="22">
        <f t="shared" si="11"/>
        <v>4.5019046519680916E-3</v>
      </c>
      <c r="H158" s="20">
        <f>MAX($B$4:B158)</f>
        <v>124752.53</v>
      </c>
      <c r="I158" s="18">
        <f t="shared" si="8"/>
        <v>0.82670760751548666</v>
      </c>
      <c r="J158" s="19">
        <f>MAX($C$4:C158)</f>
        <v>713.44</v>
      </c>
      <c r="K158" s="18">
        <f>(J158/C158)-1</f>
        <v>1.0928131416837785</v>
      </c>
      <c r="L158">
        <f>MAX($D$4:D158)</f>
        <v>234.86</v>
      </c>
      <c r="M158" s="18">
        <f>(L158/D158)-1</f>
        <v>1.6989197885543557</v>
      </c>
    </row>
    <row r="159" spans="1:13" ht="15.5" x14ac:dyDescent="0.35">
      <c r="A159" s="54">
        <v>46085</v>
      </c>
      <c r="B159" s="21">
        <v>72710.58</v>
      </c>
      <c r="C159" s="15">
        <v>355.13</v>
      </c>
      <c r="D159" s="15">
        <v>90.83</v>
      </c>
      <c r="E159" s="22">
        <f t="shared" si="9"/>
        <v>6.4675559147885808E-2</v>
      </c>
      <c r="F159" s="22">
        <f t="shared" si="10"/>
        <v>4.1742446465239169E-2</v>
      </c>
      <c r="G159" s="22">
        <f t="shared" si="11"/>
        <v>4.3783038381981276E-2</v>
      </c>
      <c r="H159" s="20">
        <f>MAX($B$4:B159)</f>
        <v>124752.53</v>
      </c>
      <c r="I159" s="18">
        <f t="shared" si="8"/>
        <v>0.71574109297436483</v>
      </c>
      <c r="J159" s="19">
        <f>MAX($C$4:C159)</f>
        <v>713.44</v>
      </c>
      <c r="K159" s="18">
        <f>(J159/C159)-1</f>
        <v>1.0089544673781434</v>
      </c>
      <c r="L159">
        <f>MAX($D$4:D159)</f>
        <v>234.86</v>
      </c>
      <c r="M159" s="18">
        <f>(L159/D159)-1</f>
        <v>1.5857095673235717</v>
      </c>
    </row>
    <row r="160" spans="1:13" ht="15.5" x14ac:dyDescent="0.35">
      <c r="A160" s="54">
        <v>46086</v>
      </c>
      <c r="B160" s="21">
        <v>70841.13</v>
      </c>
      <c r="C160" s="15">
        <v>361.98</v>
      </c>
      <c r="D160" s="15">
        <v>88.69</v>
      </c>
      <c r="E160" s="22">
        <f t="shared" si="9"/>
        <v>-2.5710838780271028E-2</v>
      </c>
      <c r="F160" s="22">
        <f t="shared" si="10"/>
        <v>1.9288711176189022E-2</v>
      </c>
      <c r="G160" s="22">
        <f t="shared" si="11"/>
        <v>-2.3560497632940658E-2</v>
      </c>
      <c r="H160" s="20">
        <f>MAX($B$4:B160)</f>
        <v>124752.53</v>
      </c>
      <c r="I160" s="18">
        <f t="shared" si="8"/>
        <v>0.76101835190940625</v>
      </c>
      <c r="J160" s="19">
        <f>MAX($C$4:C160)</f>
        <v>713.44</v>
      </c>
      <c r="K160" s="18">
        <f>(J160/C160)-1</f>
        <v>0.97093762086303115</v>
      </c>
      <c r="L160">
        <f>MAX($D$4:D160)</f>
        <v>234.86</v>
      </c>
      <c r="M160" s="18">
        <f>(L160/D160)-1</f>
        <v>1.6481001240275117</v>
      </c>
    </row>
    <row r="161" spans="1:13" ht="15.5" x14ac:dyDescent="0.35">
      <c r="A161" s="54">
        <v>46087</v>
      </c>
      <c r="B161" s="21">
        <v>68136.490000000005</v>
      </c>
      <c r="C161" s="15">
        <v>352.07</v>
      </c>
      <c r="D161" s="15">
        <v>84.68</v>
      </c>
      <c r="E161" s="22">
        <f t="shared" si="9"/>
        <v>-3.8178950561629899E-2</v>
      </c>
      <c r="F161" s="22">
        <f t="shared" si="10"/>
        <v>-2.7377203160395713E-2</v>
      </c>
      <c r="G161" s="22">
        <f t="shared" si="11"/>
        <v>-4.5213665576727791E-2</v>
      </c>
      <c r="H161" s="20">
        <f>MAX($B$4:B161)</f>
        <v>124752.53</v>
      </c>
      <c r="I161" s="18">
        <f t="shared" si="8"/>
        <v>0.83092099402243913</v>
      </c>
      <c r="J161" s="19">
        <f>MAX($C$4:C161)</f>
        <v>713.44</v>
      </c>
      <c r="K161" s="18">
        <f>(J161/C161)-1</f>
        <v>1.0264152015224246</v>
      </c>
      <c r="L161">
        <f>MAX($D$4:D161)</f>
        <v>234.86</v>
      </c>
      <c r="M161" s="18">
        <f>(L161/D161)-1</f>
        <v>1.7735002361832781</v>
      </c>
    </row>
    <row r="162" spans="1:13" ht="15.5" x14ac:dyDescent="0.35">
      <c r="A162" s="54">
        <v>46088</v>
      </c>
      <c r="B162" s="21">
        <v>67272.600000000006</v>
      </c>
      <c r="C162" s="15">
        <v>344.04</v>
      </c>
      <c r="D162" s="15">
        <v>83.18</v>
      </c>
      <c r="E162" s="22">
        <f t="shared" si="9"/>
        <v>-1.2678815712403146E-2</v>
      </c>
      <c r="F162" s="22">
        <f t="shared" si="10"/>
        <v>-2.2807964325276098E-2</v>
      </c>
      <c r="G162" s="22">
        <f t="shared" si="11"/>
        <v>-1.7713745866792641E-2</v>
      </c>
      <c r="H162" s="20">
        <f>MAX($B$4:B162)</f>
        <v>124752.53</v>
      </c>
      <c r="I162" s="18">
        <f t="shared" si="8"/>
        <v>0.85443300838677239</v>
      </c>
      <c r="J162" s="19">
        <f>MAX($C$4:C162)</f>
        <v>713.44</v>
      </c>
      <c r="K162" s="18">
        <f>(J162/C162)-1</f>
        <v>1.0737123590280202</v>
      </c>
      <c r="L162">
        <f>MAX($D$4:D162)</f>
        <v>234.86</v>
      </c>
      <c r="M162" s="18">
        <f>(L162/D162)-1</f>
        <v>1.8235152680932916</v>
      </c>
    </row>
    <row r="163" spans="1:13" ht="15.5" x14ac:dyDescent="0.35">
      <c r="A163" s="54">
        <v>46089</v>
      </c>
      <c r="B163" s="21">
        <v>65969.78</v>
      </c>
      <c r="C163" s="15">
        <v>335</v>
      </c>
      <c r="D163" s="15">
        <v>81.62</v>
      </c>
      <c r="E163" s="22">
        <f t="shared" si="9"/>
        <v>-1.9366279882151227E-2</v>
      </c>
      <c r="F163" s="22">
        <f t="shared" si="10"/>
        <v>-2.6276014416928284E-2</v>
      </c>
      <c r="G163" s="22">
        <f t="shared" si="11"/>
        <v>-1.8754508295263261E-2</v>
      </c>
      <c r="H163" s="20">
        <f>MAX($B$4:B163)</f>
        <v>124752.53</v>
      </c>
      <c r="I163" s="18">
        <f t="shared" si="8"/>
        <v>0.89105572278700951</v>
      </c>
      <c r="J163" s="19">
        <f>MAX($C$4:C163)</f>
        <v>713.44</v>
      </c>
      <c r="K163" s="18">
        <f>(J163/C163)-1</f>
        <v>1.1296716417910448</v>
      </c>
      <c r="L163">
        <f>MAX($D$4:D163)</f>
        <v>234.86</v>
      </c>
      <c r="M163" s="18">
        <f>(L163/D163)-1</f>
        <v>1.8774810095564813</v>
      </c>
    </row>
    <row r="164" spans="1:13" ht="15.5" x14ac:dyDescent="0.35">
      <c r="A164" s="54">
        <v>46090</v>
      </c>
      <c r="B164" s="21">
        <v>68402.39</v>
      </c>
      <c r="C164" s="15">
        <v>341.02</v>
      </c>
      <c r="D164" s="15">
        <v>84.94</v>
      </c>
      <c r="E164" s="22">
        <f t="shared" si="9"/>
        <v>3.6874611375087296E-2</v>
      </c>
      <c r="F164" s="22">
        <f t="shared" si="10"/>
        <v>1.7970149253731194E-2</v>
      </c>
      <c r="G164" s="22">
        <f t="shared" si="11"/>
        <v>4.0676304827248044E-2</v>
      </c>
      <c r="H164" s="20">
        <f>MAX($B$4:B164)</f>
        <v>124752.53</v>
      </c>
      <c r="I164" s="18">
        <f t="shared" si="8"/>
        <v>0.82380367118751252</v>
      </c>
      <c r="J164" s="19">
        <f>MAX($C$4:C164)</f>
        <v>713.44</v>
      </c>
      <c r="K164" s="18">
        <f>(J164/C164)-1</f>
        <v>1.0920767110433407</v>
      </c>
      <c r="L164">
        <f>MAX($D$4:D164)</f>
        <v>234.86</v>
      </c>
      <c r="M164" s="18">
        <f>(L164/D164)-1</f>
        <v>1.7650105957146223</v>
      </c>
    </row>
    <row r="165" spans="1:13" ht="15.5" x14ac:dyDescent="0.35">
      <c r="A165" s="54">
        <v>46091</v>
      </c>
      <c r="B165" s="21">
        <v>69926.92</v>
      </c>
      <c r="C165" s="15">
        <v>353.09</v>
      </c>
      <c r="D165" s="15">
        <v>85.84</v>
      </c>
      <c r="E165" s="22">
        <f t="shared" si="9"/>
        <v>2.228767152726685E-2</v>
      </c>
      <c r="F165" s="22">
        <f t="shared" si="10"/>
        <v>3.5393818544366962E-2</v>
      </c>
      <c r="G165" s="22">
        <f t="shared" si="11"/>
        <v>1.0595714622086305E-2</v>
      </c>
      <c r="H165" s="20">
        <f>MAX($B$4:B165)</f>
        <v>124752.53</v>
      </c>
      <c r="I165" s="18">
        <f t="shared" si="8"/>
        <v>0.78404153936709919</v>
      </c>
      <c r="J165" s="19">
        <f>MAX($C$4:C165)</f>
        <v>713.44</v>
      </c>
      <c r="K165" s="18">
        <f>(J165/C165)-1</f>
        <v>1.0205613299725287</v>
      </c>
      <c r="L165">
        <f>MAX($D$4:D165)</f>
        <v>234.86</v>
      </c>
      <c r="M165" s="18">
        <f>(L165/D165)-1</f>
        <v>1.7360205032618827</v>
      </c>
    </row>
    <row r="166" spans="1:13" ht="15.5" x14ac:dyDescent="0.35">
      <c r="A166" s="54">
        <v>46092</v>
      </c>
      <c r="B166" s="21">
        <v>70204.88</v>
      </c>
      <c r="C166" s="15">
        <v>352.46</v>
      </c>
      <c r="D166" s="15">
        <v>86.56</v>
      </c>
      <c r="E166" s="22">
        <f t="shared" si="9"/>
        <v>3.9750070502175827E-3</v>
      </c>
      <c r="F166" s="22">
        <f t="shared" si="10"/>
        <v>-1.7842476422441633E-3</v>
      </c>
      <c r="G166" s="22">
        <f t="shared" si="11"/>
        <v>8.3876980428705394E-3</v>
      </c>
      <c r="H166" s="20">
        <f>MAX($B$4:B166)</f>
        <v>124752.53</v>
      </c>
      <c r="I166" s="18">
        <f t="shared" si="8"/>
        <v>0.77697803913346175</v>
      </c>
      <c r="J166" s="19">
        <f>MAX($C$4:C166)</f>
        <v>713.44</v>
      </c>
      <c r="K166" s="18">
        <f>(J166/C166)-1</f>
        <v>1.0241729557964026</v>
      </c>
      <c r="L166">
        <f>MAX($D$4:D166)</f>
        <v>234.86</v>
      </c>
      <c r="M166" s="18">
        <f>(L166/D166)-1</f>
        <v>1.7132624768946396</v>
      </c>
    </row>
    <row r="167" spans="1:13" ht="15.5" x14ac:dyDescent="0.35">
      <c r="A167" s="54">
        <v>46093</v>
      </c>
      <c r="B167" s="21">
        <v>70493.460000000006</v>
      </c>
      <c r="C167" s="15">
        <v>350.28</v>
      </c>
      <c r="D167" s="15">
        <v>86.87</v>
      </c>
      <c r="E167" s="22">
        <f t="shared" si="9"/>
        <v>4.1105404638537291E-3</v>
      </c>
      <c r="F167" s="22">
        <f t="shared" si="10"/>
        <v>-6.1850990183283105E-3</v>
      </c>
      <c r="G167" s="22">
        <f t="shared" si="11"/>
        <v>3.5813308687615564E-3</v>
      </c>
      <c r="H167" s="20">
        <f>MAX($B$4:B167)</f>
        <v>124752.53</v>
      </c>
      <c r="I167" s="18">
        <f t="shared" si="8"/>
        <v>0.76970360087304535</v>
      </c>
      <c r="J167" s="19">
        <f>MAX($C$4:C167)</f>
        <v>713.44</v>
      </c>
      <c r="K167" s="18">
        <f>(J167/C167)-1</f>
        <v>1.036770583533174</v>
      </c>
      <c r="L167">
        <f>MAX($D$4:D167)</f>
        <v>234.86</v>
      </c>
      <c r="M167" s="18">
        <f>(L167/D167)-1</f>
        <v>1.7035800621618509</v>
      </c>
    </row>
    <row r="168" spans="1:13" ht="15.5" x14ac:dyDescent="0.35">
      <c r="A168" s="54">
        <v>46094</v>
      </c>
      <c r="B168" s="21">
        <v>70968.27</v>
      </c>
      <c r="C168" s="15">
        <v>358.51</v>
      </c>
      <c r="D168" s="15">
        <v>88.15</v>
      </c>
      <c r="E168" s="22">
        <f t="shared" si="9"/>
        <v>6.7355184438386839E-3</v>
      </c>
      <c r="F168" s="22">
        <f t="shared" si="10"/>
        <v>2.3495489322827412E-2</v>
      </c>
      <c r="G168" s="22">
        <f t="shared" si="11"/>
        <v>1.4734660987682835E-2</v>
      </c>
      <c r="H168" s="20">
        <f>MAX($B$4:B168)</f>
        <v>124752.53</v>
      </c>
      <c r="I168" s="18">
        <f t="shared" si="8"/>
        <v>0.75786347898856765</v>
      </c>
      <c r="J168" s="19">
        <f>MAX($C$4:C168)</f>
        <v>713.44</v>
      </c>
      <c r="K168" s="18">
        <f>(J168/C168)-1</f>
        <v>0.99001422554461538</v>
      </c>
      <c r="L168">
        <f>MAX($D$4:D168)</f>
        <v>234.86</v>
      </c>
      <c r="M168" s="18">
        <f>(L168/D168)-1</f>
        <v>1.6643221781055018</v>
      </c>
    </row>
    <row r="169" spans="1:13" ht="15.5" x14ac:dyDescent="0.35">
      <c r="A169" s="54">
        <v>46095</v>
      </c>
      <c r="B169" s="21">
        <v>71214.63</v>
      </c>
      <c r="C169" s="15">
        <v>355.41</v>
      </c>
      <c r="D169" s="15">
        <v>88.07</v>
      </c>
      <c r="E169" s="22">
        <f t="shared" si="9"/>
        <v>3.4714105331861145E-3</v>
      </c>
      <c r="F169" s="22">
        <f t="shared" si="10"/>
        <v>-8.646899668070529E-3</v>
      </c>
      <c r="G169" s="22">
        <f t="shared" si="11"/>
        <v>-9.0754395916070596E-4</v>
      </c>
      <c r="H169" s="20">
        <f>MAX($B$4:B169)</f>
        <v>124752.53</v>
      </c>
      <c r="I169" s="18">
        <f t="shared" si="8"/>
        <v>0.75178232337933926</v>
      </c>
      <c r="J169" s="19">
        <f>MAX($C$4:C169)</f>
        <v>713.44</v>
      </c>
      <c r="K169" s="18">
        <f>(J169/C169)-1</f>
        <v>1.0073717678174501</v>
      </c>
      <c r="L169">
        <f>MAX($D$4:D169)</f>
        <v>234.86</v>
      </c>
      <c r="M169" s="18">
        <f>(L169/D169)-1</f>
        <v>1.6667423640286141</v>
      </c>
    </row>
    <row r="170" spans="1:13" ht="15.5" x14ac:dyDescent="0.35">
      <c r="A170" s="54">
        <v>46096</v>
      </c>
      <c r="B170" s="21">
        <v>72789.919999999998</v>
      </c>
      <c r="C170" s="15">
        <v>358.21</v>
      </c>
      <c r="D170" s="15">
        <v>92.25</v>
      </c>
      <c r="E170" s="22">
        <f t="shared" si="9"/>
        <v>2.2120314323053947E-2</v>
      </c>
      <c r="F170" s="22">
        <f t="shared" si="10"/>
        <v>7.8782251484199595E-3</v>
      </c>
      <c r="G170" s="22">
        <f t="shared" si="11"/>
        <v>4.7462245940729009E-2</v>
      </c>
      <c r="H170" s="20">
        <f>MAX($B$4:B170)</f>
        <v>124752.53</v>
      </c>
      <c r="I170" s="18">
        <f t="shared" si="8"/>
        <v>0.71387095905586939</v>
      </c>
      <c r="J170" s="19">
        <f>MAX($C$4:C170)</f>
        <v>713.44</v>
      </c>
      <c r="K170" s="18">
        <f>(J170/C170)-1</f>
        <v>0.99168085759749891</v>
      </c>
      <c r="L170">
        <f>MAX($D$4:D170)</f>
        <v>234.86</v>
      </c>
      <c r="M170" s="18">
        <f>(L170/D170)-1</f>
        <v>1.5459078590785911</v>
      </c>
    </row>
    <row r="171" spans="1:13" ht="15.5" x14ac:dyDescent="0.35">
      <c r="A171" s="54">
        <v>46097</v>
      </c>
      <c r="B171" s="21">
        <v>74861.08</v>
      </c>
      <c r="C171" s="15">
        <v>373.33</v>
      </c>
      <c r="D171" s="15">
        <v>96.22</v>
      </c>
      <c r="E171" s="22">
        <f t="shared" si="9"/>
        <v>2.845393977627686E-2</v>
      </c>
      <c r="F171" s="22">
        <f t="shared" si="10"/>
        <v>4.2209876887859155E-2</v>
      </c>
      <c r="G171" s="22">
        <f t="shared" si="11"/>
        <v>4.3035230352303611E-2</v>
      </c>
      <c r="H171" s="20">
        <f>MAX($B$4:B171)</f>
        <v>124752.53</v>
      </c>
      <c r="I171" s="18">
        <f t="shared" si="8"/>
        <v>0.66645378346131245</v>
      </c>
      <c r="J171" s="19">
        <f>MAX($C$4:C171)</f>
        <v>713.44</v>
      </c>
      <c r="K171" s="18">
        <f>(J171/C171)-1</f>
        <v>0.91101706265234528</v>
      </c>
      <c r="L171">
        <f>MAX($D$4:D171)</f>
        <v>234.86</v>
      </c>
      <c r="M171" s="18">
        <f>(L171/D171)-1</f>
        <v>1.4408646850966536</v>
      </c>
    </row>
    <row r="172" spans="1:13" ht="15.5" x14ac:dyDescent="0.35">
      <c r="A172" s="54">
        <v>46098</v>
      </c>
      <c r="B172" s="21">
        <v>73922.47</v>
      </c>
      <c r="C172" s="15">
        <v>368.58</v>
      </c>
      <c r="D172" s="15">
        <v>94.71</v>
      </c>
      <c r="E172" s="22">
        <f t="shared" si="9"/>
        <v>-1.2538023763483008E-2</v>
      </c>
      <c r="F172" s="22">
        <f t="shared" si="10"/>
        <v>-1.2723327886856151E-2</v>
      </c>
      <c r="G172" s="22">
        <f t="shared" si="11"/>
        <v>-1.5693203076283524E-2</v>
      </c>
      <c r="H172" s="20">
        <f>MAX($B$4:B172)</f>
        <v>124752.53</v>
      </c>
      <c r="I172" s="18">
        <f t="shared" si="8"/>
        <v>0.68761311682361259</v>
      </c>
      <c r="J172" s="19">
        <f>MAX($C$4:C172)</f>
        <v>713.44</v>
      </c>
      <c r="K172" s="18">
        <f>(J172/C172)-1</f>
        <v>0.93564490748277196</v>
      </c>
      <c r="L172">
        <f>MAX($D$4:D172)</f>
        <v>234.86</v>
      </c>
      <c r="M172" s="18">
        <f>(L172/D172)-1</f>
        <v>1.4797803822194071</v>
      </c>
    </row>
    <row r="173" spans="1:13" ht="15.5" x14ac:dyDescent="0.35">
      <c r="A173" s="54">
        <v>46099</v>
      </c>
      <c r="B173" s="21">
        <v>71245.58</v>
      </c>
      <c r="C173" s="15">
        <v>346.68</v>
      </c>
      <c r="D173" s="15">
        <v>90.07</v>
      </c>
      <c r="E173" s="22">
        <f t="shared" si="9"/>
        <v>-3.621212873433477E-2</v>
      </c>
      <c r="F173" s="22">
        <f t="shared" si="10"/>
        <v>-5.9417222855282392E-2</v>
      </c>
      <c r="G173" s="22">
        <f t="shared" si="11"/>
        <v>-4.899165874775635E-2</v>
      </c>
      <c r="H173" s="20">
        <f>MAX($B$4:B173)</f>
        <v>124752.53</v>
      </c>
      <c r="I173" s="18">
        <f t="shared" si="8"/>
        <v>0.75102132651597464</v>
      </c>
      <c r="J173" s="19">
        <f>MAX($C$4:C173)</f>
        <v>713.44</v>
      </c>
      <c r="K173" s="18">
        <f>(J173/C173)-1</f>
        <v>1.057920849198108</v>
      </c>
      <c r="L173">
        <f>MAX($D$4:D173)</f>
        <v>234.86</v>
      </c>
      <c r="M173" s="18">
        <f>(L173/D173)-1</f>
        <v>1.6075274786277345</v>
      </c>
    </row>
    <row r="174" spans="1:13" ht="15.5" x14ac:dyDescent="0.35">
      <c r="A174" s="54">
        <v>46100</v>
      </c>
      <c r="B174" s="21">
        <v>69912.789999999994</v>
      </c>
      <c r="C174" s="15">
        <v>339.73</v>
      </c>
      <c r="D174" s="15">
        <v>88.92</v>
      </c>
      <c r="E174" s="22">
        <f t="shared" si="9"/>
        <v>-1.8706985050862213E-2</v>
      </c>
      <c r="F174" s="22">
        <f t="shared" si="10"/>
        <v>-2.0047305872850973E-2</v>
      </c>
      <c r="G174" s="22">
        <f t="shared" si="11"/>
        <v>-1.2767847229932183E-2</v>
      </c>
      <c r="H174" s="20">
        <f>MAX($B$4:B174)</f>
        <v>124752.53</v>
      </c>
      <c r="I174" s="18">
        <f t="shared" si="8"/>
        <v>0.78440211011461569</v>
      </c>
      <c r="J174" s="19">
        <f>MAX($C$4:C174)</f>
        <v>713.44</v>
      </c>
      <c r="K174" s="18">
        <f>(J174/C174)-1</f>
        <v>1.100020604597769</v>
      </c>
      <c r="L174">
        <f>MAX($D$4:D174)</f>
        <v>234.86</v>
      </c>
      <c r="M174" s="18">
        <f>(L174/D174)-1</f>
        <v>1.6412505623031941</v>
      </c>
    </row>
    <row r="175" spans="1:13" ht="15.5" x14ac:dyDescent="0.35">
      <c r="A175" s="54">
        <v>46101</v>
      </c>
      <c r="B175" s="21">
        <v>70522.58</v>
      </c>
      <c r="C175" s="15">
        <v>348.13</v>
      </c>
      <c r="D175" s="15">
        <v>89.85</v>
      </c>
      <c r="E175" s="22">
        <f t="shared" si="9"/>
        <v>8.7221522699925114E-3</v>
      </c>
      <c r="F175" s="22">
        <f t="shared" si="10"/>
        <v>2.4725517322579549E-2</v>
      </c>
      <c r="G175" s="22">
        <f t="shared" si="11"/>
        <v>1.0458839406207732E-2</v>
      </c>
      <c r="H175" s="20">
        <f>MAX($B$4:B175)</f>
        <v>124752.53</v>
      </c>
      <c r="I175" s="18">
        <f t="shared" si="8"/>
        <v>0.76897285947281002</v>
      </c>
      <c r="J175" s="19">
        <f>MAX($C$4:C175)</f>
        <v>713.44</v>
      </c>
      <c r="K175" s="18">
        <f>(J175/C175)-1</f>
        <v>1.0493493809783705</v>
      </c>
      <c r="L175">
        <f>MAX($D$4:D175)</f>
        <v>234.86</v>
      </c>
      <c r="M175" s="18">
        <f>(L175/D175)-1</f>
        <v>1.613912075681692</v>
      </c>
    </row>
    <row r="176" spans="1:13" ht="15.5" x14ac:dyDescent="0.35">
      <c r="A176" s="54">
        <v>46102</v>
      </c>
      <c r="B176" s="21">
        <v>68711.53</v>
      </c>
      <c r="C176" s="15">
        <v>341.3</v>
      </c>
      <c r="D176" s="15">
        <v>87.47</v>
      </c>
      <c r="E176" s="22">
        <f t="shared" si="9"/>
        <v>-2.5680427460254562E-2</v>
      </c>
      <c r="F176" s="22">
        <f t="shared" si="10"/>
        <v>-1.9619107804555669E-2</v>
      </c>
      <c r="G176" s="22">
        <f t="shared" si="11"/>
        <v>-2.6488592097940966E-2</v>
      </c>
      <c r="H176" s="20">
        <f>MAX($B$4:B176)</f>
        <v>124752.53</v>
      </c>
      <c r="I176" s="18">
        <f t="shared" si="8"/>
        <v>0.81559819727489691</v>
      </c>
      <c r="J176" s="19">
        <f>MAX($C$4:C176)</f>
        <v>713.44</v>
      </c>
      <c r="K176" s="18">
        <f>(J176/C176)-1</f>
        <v>1.0903603867565193</v>
      </c>
      <c r="L176">
        <f>MAX($D$4:D176)</f>
        <v>234.86</v>
      </c>
      <c r="M176" s="18">
        <f>(L176/D176)-1</f>
        <v>1.6850348690979766</v>
      </c>
    </row>
    <row r="177" spans="1:13" ht="15.5" x14ac:dyDescent="0.35">
      <c r="A177" s="54">
        <v>46103</v>
      </c>
      <c r="B177" s="21">
        <v>67845.210000000006</v>
      </c>
      <c r="C177" s="15">
        <v>362.07</v>
      </c>
      <c r="D177" s="15">
        <v>86.13</v>
      </c>
      <c r="E177" s="22">
        <f t="shared" si="9"/>
        <v>-1.2608073201106018E-2</v>
      </c>
      <c r="F177" s="22">
        <f t="shared" si="10"/>
        <v>6.0855552300029148E-2</v>
      </c>
      <c r="G177" s="22">
        <f t="shared" si="11"/>
        <v>-1.5319538127357979E-2</v>
      </c>
      <c r="H177" s="20">
        <f>MAX($B$4:B177)</f>
        <v>124752.53</v>
      </c>
      <c r="I177" s="18">
        <f t="shared" si="8"/>
        <v>0.83878169144144432</v>
      </c>
      <c r="J177" s="19">
        <f>MAX($C$4:C177)</f>
        <v>713.44</v>
      </c>
      <c r="K177" s="18">
        <f>(J177/C177)-1</f>
        <v>0.97044770348275211</v>
      </c>
      <c r="L177">
        <f>MAX($D$4:D177)</f>
        <v>234.86</v>
      </c>
      <c r="M177" s="18">
        <f>(L177/D177)-1</f>
        <v>1.7268083130152099</v>
      </c>
    </row>
    <row r="178" spans="1:13" ht="15.5" x14ac:dyDescent="0.35">
      <c r="A178" s="54">
        <v>46104</v>
      </c>
      <c r="B178" s="21">
        <v>70914.86</v>
      </c>
      <c r="C178" s="15">
        <v>350.71</v>
      </c>
      <c r="D178" s="15">
        <v>91.42</v>
      </c>
      <c r="E178" s="22">
        <f t="shared" si="9"/>
        <v>4.5244903803820291E-2</v>
      </c>
      <c r="F178" s="22">
        <f t="shared" si="10"/>
        <v>-3.137514845195688E-2</v>
      </c>
      <c r="G178" s="22">
        <f t="shared" si="11"/>
        <v>6.141878555671676E-2</v>
      </c>
      <c r="H178" s="20">
        <f>MAX($B$4:B178)</f>
        <v>124752.53</v>
      </c>
      <c r="I178" s="18">
        <f t="shared" si="8"/>
        <v>0.75918742559739938</v>
      </c>
      <c r="J178" s="19">
        <f>MAX($C$4:C178)</f>
        <v>713.44</v>
      </c>
      <c r="K178" s="18">
        <f>(J178/C178)-1</f>
        <v>1.0342733312423373</v>
      </c>
      <c r="L178">
        <f>MAX($D$4:D178)</f>
        <v>234.86</v>
      </c>
      <c r="M178" s="18">
        <f>(L178/D178)-1</f>
        <v>1.5690220958214836</v>
      </c>
    </row>
    <row r="179" spans="1:13" ht="15.5" x14ac:dyDescent="0.35">
      <c r="A179" s="54">
        <v>46105</v>
      </c>
      <c r="B179" s="21">
        <v>70517.86</v>
      </c>
      <c r="C179" s="15">
        <v>339.63</v>
      </c>
      <c r="D179" s="15">
        <v>90.82</v>
      </c>
      <c r="E179" s="22">
        <f t="shared" si="9"/>
        <v>-5.5982624798244229E-3</v>
      </c>
      <c r="F179" s="22">
        <f t="shared" si="10"/>
        <v>-3.159305409027402E-2</v>
      </c>
      <c r="G179" s="22">
        <f t="shared" si="11"/>
        <v>-6.5631152920587743E-3</v>
      </c>
      <c r="H179" s="20">
        <f>MAX($B$4:B179)</f>
        <v>124752.53</v>
      </c>
      <c r="I179" s="18">
        <f t="shared" si="8"/>
        <v>0.76909126283752793</v>
      </c>
      <c r="J179" s="19">
        <f>MAX($C$4:C179)</f>
        <v>713.44</v>
      </c>
      <c r="K179" s="18">
        <f>(J179/C179)-1</f>
        <v>1.1006389306009483</v>
      </c>
      <c r="L179">
        <f>MAX($D$4:D179)</f>
        <v>234.86</v>
      </c>
      <c r="M179" s="18">
        <f>(L179/D179)-1</f>
        <v>1.5859942743889013</v>
      </c>
    </row>
    <row r="180" spans="1:13" ht="15.5" x14ac:dyDescent="0.35">
      <c r="A180" s="54">
        <v>46106</v>
      </c>
      <c r="B180" s="21">
        <v>71309.88</v>
      </c>
      <c r="C180" s="15">
        <v>340.55</v>
      </c>
      <c r="D180" s="15">
        <v>91.71</v>
      </c>
      <c r="E180" s="22">
        <f t="shared" si="9"/>
        <v>1.1231480932631932E-2</v>
      </c>
      <c r="F180" s="22">
        <f t="shared" si="10"/>
        <v>2.7088301975679574E-3</v>
      </c>
      <c r="G180" s="22">
        <f t="shared" si="11"/>
        <v>9.7996036115393093E-3</v>
      </c>
      <c r="H180" s="20">
        <f>MAX($B$4:B180)</f>
        <v>124752.53</v>
      </c>
      <c r="I180" s="18">
        <f t="shared" si="8"/>
        <v>0.74944243350290307</v>
      </c>
      <c r="J180" s="19">
        <f>MAX($C$4:C180)</f>
        <v>713.44</v>
      </c>
      <c r="K180" s="18">
        <f>(J180/C180)-1</f>
        <v>1.0949640287769786</v>
      </c>
      <c r="L180">
        <f>MAX($D$4:D180)</f>
        <v>234.86</v>
      </c>
      <c r="M180" s="18">
        <f>(L180/D180)-1</f>
        <v>1.5608984843528515</v>
      </c>
    </row>
    <row r="181" spans="1:13" ht="15.5" x14ac:dyDescent="0.35">
      <c r="A181" s="54">
        <v>46107</v>
      </c>
      <c r="B181" s="21">
        <v>68791.62</v>
      </c>
      <c r="C181" s="15">
        <v>328.39</v>
      </c>
      <c r="D181" s="15">
        <v>86.44</v>
      </c>
      <c r="E181" s="22">
        <f t="shared" si="9"/>
        <v>-3.5314321101087343E-2</v>
      </c>
      <c r="F181" s="22">
        <f t="shared" si="10"/>
        <v>-3.5706944648362993E-2</v>
      </c>
      <c r="G181" s="22">
        <f t="shared" si="11"/>
        <v>-5.7463744411732631E-2</v>
      </c>
      <c r="H181" s="20">
        <f>MAX($B$4:B181)</f>
        <v>124752.53</v>
      </c>
      <c r="I181" s="18">
        <f t="shared" si="8"/>
        <v>0.8134844040596807</v>
      </c>
      <c r="J181" s="19">
        <f>MAX($C$4:C181)</f>
        <v>713.44</v>
      </c>
      <c r="K181" s="18">
        <f>(J181/C181)-1</f>
        <v>1.17253874965742</v>
      </c>
      <c r="L181">
        <f>MAX($D$4:D181)</f>
        <v>234.86</v>
      </c>
      <c r="M181" s="18">
        <f>(L181/D181)-1</f>
        <v>1.717029153169829</v>
      </c>
    </row>
    <row r="182" spans="1:13" ht="15.5" x14ac:dyDescent="0.35">
      <c r="A182" s="54">
        <v>46108</v>
      </c>
      <c r="B182" s="21">
        <v>66338.37</v>
      </c>
      <c r="C182" s="15">
        <v>325.2</v>
      </c>
      <c r="D182" s="15">
        <v>83.02</v>
      </c>
      <c r="E182" s="22">
        <f t="shared" si="9"/>
        <v>-3.5662047208657066E-2</v>
      </c>
      <c r="F182" s="22">
        <f t="shared" si="10"/>
        <v>-9.7140595024208798E-3</v>
      </c>
      <c r="G182" s="22">
        <f t="shared" si="11"/>
        <v>-3.9565016196205449E-2</v>
      </c>
      <c r="H182" s="20">
        <f>MAX($B$4:B182)</f>
        <v>124752.53</v>
      </c>
      <c r="I182" s="18">
        <f t="shared" si="8"/>
        <v>0.88054861764013803</v>
      </c>
      <c r="J182" s="19">
        <f>MAX($C$4:C182)</f>
        <v>713.44</v>
      </c>
      <c r="K182" s="18">
        <f>(J182/C182)-1</f>
        <v>1.193849938499385</v>
      </c>
      <c r="L182">
        <f>MAX($D$4:D182)</f>
        <v>234.86</v>
      </c>
      <c r="M182" s="18">
        <f>(L182/D182)-1</f>
        <v>1.8289568778607568</v>
      </c>
    </row>
    <row r="183" spans="1:13" ht="15.5" x14ac:dyDescent="0.35">
      <c r="A183" s="54">
        <v>46109</v>
      </c>
      <c r="B183" s="21">
        <v>66319.7</v>
      </c>
      <c r="C183" s="15">
        <v>329.69</v>
      </c>
      <c r="D183" s="15">
        <v>82.02</v>
      </c>
      <c r="E183" s="22">
        <f t="shared" si="9"/>
        <v>-2.8143591710194649E-4</v>
      </c>
      <c r="F183" s="22">
        <f t="shared" si="10"/>
        <v>1.3806888068880641E-2</v>
      </c>
      <c r="G183" s="22">
        <f t="shared" si="11"/>
        <v>-1.2045290291496036E-2</v>
      </c>
      <c r="H183" s="20">
        <f>MAX($B$4:B183)</f>
        <v>124752.53</v>
      </c>
      <c r="I183" s="18">
        <f t="shared" si="8"/>
        <v>0.88107802055799422</v>
      </c>
      <c r="J183" s="19">
        <f>MAX($C$4:C183)</f>
        <v>713.44</v>
      </c>
      <c r="K183" s="18">
        <f>(J183/C183)-1</f>
        <v>1.1639722163244262</v>
      </c>
      <c r="L183">
        <f>MAX($D$4:D183)</f>
        <v>234.86</v>
      </c>
      <c r="M183" s="18">
        <f>(L183/D183)-1</f>
        <v>1.863447939526945</v>
      </c>
    </row>
    <row r="184" spans="1:13" ht="15.5" x14ac:dyDescent="0.35">
      <c r="A184" s="54">
        <v>46110</v>
      </c>
      <c r="B184" s="21">
        <v>65954.92</v>
      </c>
      <c r="C184" s="15">
        <v>326.99</v>
      </c>
      <c r="D184" s="15">
        <v>81.42</v>
      </c>
      <c r="E184" s="22">
        <f t="shared" si="9"/>
        <v>-5.5003264490037784E-3</v>
      </c>
      <c r="F184" s="22">
        <f t="shared" si="10"/>
        <v>-8.1895113591555768E-3</v>
      </c>
      <c r="G184" s="22">
        <f t="shared" si="11"/>
        <v>-7.3152889539136456E-3</v>
      </c>
      <c r="H184" s="20">
        <f>MAX($B$4:B184)</f>
        <v>124752.53</v>
      </c>
      <c r="I184" s="18">
        <f t="shared" si="8"/>
        <v>0.89148178786358923</v>
      </c>
      <c r="J184" s="19">
        <f>MAX($C$4:C184)</f>
        <v>713.44</v>
      </c>
      <c r="K184" s="18">
        <f>(J184/C184)-1</f>
        <v>1.1818404232545339</v>
      </c>
      <c r="L184">
        <f>MAX($D$4:D184)</f>
        <v>234.86</v>
      </c>
      <c r="M184" s="18">
        <f>(L184/D184)-1</f>
        <v>1.8845492507983299</v>
      </c>
    </row>
    <row r="185" spans="1:13" ht="15.5" x14ac:dyDescent="0.35">
      <c r="A185" s="54">
        <v>46111</v>
      </c>
      <c r="B185" s="21">
        <v>66691.44</v>
      </c>
      <c r="C185" s="15">
        <v>321.29000000000002</v>
      </c>
      <c r="D185" s="15">
        <v>82.44</v>
      </c>
      <c r="E185" s="22">
        <f t="shared" si="9"/>
        <v>1.1167021353372997E-2</v>
      </c>
      <c r="F185" s="22">
        <f t="shared" si="10"/>
        <v>-1.7431725740848281E-2</v>
      </c>
      <c r="G185" s="22">
        <f t="shared" si="11"/>
        <v>1.2527634487840666E-2</v>
      </c>
      <c r="H185" s="20">
        <f>MAX($B$4:B185)</f>
        <v>124752.53</v>
      </c>
      <c r="I185" s="18">
        <f t="shared" si="8"/>
        <v>0.87059283770150997</v>
      </c>
      <c r="J185" s="19">
        <f>MAX($C$4:C185)</f>
        <v>713.44</v>
      </c>
      <c r="K185" s="18">
        <f>(J185/C185)-1</f>
        <v>1.220548414205235</v>
      </c>
      <c r="L185">
        <f>MAX($D$4:D185)</f>
        <v>234.86</v>
      </c>
      <c r="M185" s="18">
        <f>(L185/D185)-1</f>
        <v>1.8488597768073753</v>
      </c>
    </row>
    <row r="186" spans="1:13" ht="15.5" x14ac:dyDescent="0.35">
      <c r="A186" s="54">
        <v>46112</v>
      </c>
      <c r="B186" s="21">
        <v>68233.320000000007</v>
      </c>
      <c r="C186" s="15">
        <v>333.05</v>
      </c>
      <c r="D186" s="15">
        <v>83.11</v>
      </c>
      <c r="E186" s="22">
        <f t="shared" si="9"/>
        <v>2.3119608753387366E-2</v>
      </c>
      <c r="F186" s="22">
        <f t="shared" si="10"/>
        <v>3.6602446387998366E-2</v>
      </c>
      <c r="G186" s="22">
        <f t="shared" si="11"/>
        <v>8.1271227559436277E-3</v>
      </c>
      <c r="H186" s="20">
        <f>MAX($B$4:B186)</f>
        <v>124752.53</v>
      </c>
      <c r="I186" s="18">
        <f t="shared" si="8"/>
        <v>0.82832273147488622</v>
      </c>
      <c r="J186" s="19">
        <f>MAX($C$4:C186)</f>
        <v>713.44</v>
      </c>
      <c r="K186" s="18">
        <f>(J186/C186)-1</f>
        <v>1.1421408196967424</v>
      </c>
      <c r="L186">
        <f>MAX($D$4:D186)</f>
        <v>234.86</v>
      </c>
      <c r="M186" s="18">
        <f>(L186/D186)-1</f>
        <v>1.8258933942967155</v>
      </c>
    </row>
    <row r="187" spans="1:13" ht="15.5" x14ac:dyDescent="0.35">
      <c r="A187" s="54">
        <v>46113</v>
      </c>
      <c r="B187" s="21">
        <v>68078.55</v>
      </c>
      <c r="C187" s="15">
        <v>336.57</v>
      </c>
      <c r="D187" s="15">
        <v>81.2</v>
      </c>
      <c r="E187" s="22">
        <f t="shared" si="9"/>
        <v>-2.2682466572050419E-3</v>
      </c>
      <c r="F187" s="22">
        <f t="shared" si="10"/>
        <v>1.0568983636090712E-2</v>
      </c>
      <c r="G187" s="22">
        <f t="shared" si="11"/>
        <v>-2.2981590662976781E-2</v>
      </c>
      <c r="H187" s="20">
        <f>MAX($B$4:B187)</f>
        <v>124752.53</v>
      </c>
      <c r="I187" s="18">
        <f t="shared" si="8"/>
        <v>0.83247924639993065</v>
      </c>
      <c r="J187" s="19">
        <f>MAX($C$4:C187)</f>
        <v>713.44</v>
      </c>
      <c r="K187" s="18">
        <f>(J187/C187)-1</f>
        <v>1.1197373503283123</v>
      </c>
      <c r="L187">
        <f>MAX($D$4:D187)</f>
        <v>234.86</v>
      </c>
      <c r="M187" s="18">
        <f>(L187/D187)-1</f>
        <v>1.8923645320197044</v>
      </c>
    </row>
    <row r="188" spans="1:13" ht="15.5" x14ac:dyDescent="0.35">
      <c r="A188" s="54">
        <v>46114</v>
      </c>
      <c r="B188" s="21">
        <v>66888.570000000007</v>
      </c>
      <c r="C188" s="15">
        <v>326.08999999999997</v>
      </c>
      <c r="D188" s="15">
        <v>78.95</v>
      </c>
      <c r="E188" s="22">
        <f t="shared" si="9"/>
        <v>-1.7479514472620195E-2</v>
      </c>
      <c r="F188" s="22">
        <f t="shared" si="10"/>
        <v>-3.1137653385625685E-2</v>
      </c>
      <c r="G188" s="22">
        <f t="shared" si="11"/>
        <v>-2.7709359605911366E-2</v>
      </c>
      <c r="H188" s="20">
        <f>MAX($B$4:B188)</f>
        <v>124752.53</v>
      </c>
      <c r="I188" s="18">
        <f t="shared" si="8"/>
        <v>0.86507993817179796</v>
      </c>
      <c r="J188" s="19">
        <f>MAX($C$4:C188)</f>
        <v>713.44</v>
      </c>
      <c r="K188" s="18">
        <f>(J188/C188)-1</f>
        <v>1.1878622466190318</v>
      </c>
      <c r="L188">
        <f>MAX($D$4:D188)</f>
        <v>234.86</v>
      </c>
      <c r="M188" s="18">
        <f>(L188/D188)-1</f>
        <v>1.9747941735275489</v>
      </c>
    </row>
    <row r="189" spans="1:13" ht="15.5" x14ac:dyDescent="0.35">
      <c r="A189" s="54">
        <v>46115</v>
      </c>
      <c r="B189" s="21">
        <v>66931.100000000006</v>
      </c>
      <c r="C189" s="15">
        <v>315.45999999999998</v>
      </c>
      <c r="D189" s="15">
        <v>80.37</v>
      </c>
      <c r="E189" s="22">
        <f t="shared" si="9"/>
        <v>6.3583359608365697E-4</v>
      </c>
      <c r="F189" s="22">
        <f t="shared" si="10"/>
        <v>-3.2598362415284132E-2</v>
      </c>
      <c r="G189" s="22">
        <f t="shared" si="11"/>
        <v>1.7986067131095629E-2</v>
      </c>
      <c r="H189" s="20">
        <f>MAX($B$4:B189)</f>
        <v>124752.53</v>
      </c>
      <c r="I189" s="18">
        <f t="shared" si="8"/>
        <v>0.863894811231251</v>
      </c>
      <c r="J189" s="19">
        <f>MAX($C$4:C189)</f>
        <v>713.44</v>
      </c>
      <c r="K189" s="18">
        <f>(J189/C189)-1</f>
        <v>1.2615862549927095</v>
      </c>
      <c r="L189">
        <f>MAX($D$4:D189)</f>
        <v>234.86</v>
      </c>
      <c r="M189" s="18">
        <f>(L189/D189)-1</f>
        <v>1.9222346646758739</v>
      </c>
    </row>
    <row r="190" spans="1:13" ht="15.5" x14ac:dyDescent="0.35">
      <c r="A190" s="54">
        <v>46116</v>
      </c>
      <c r="B190" s="21">
        <v>67290.52</v>
      </c>
      <c r="C190" s="15">
        <v>325.14999999999998</v>
      </c>
      <c r="D190" s="15">
        <v>80.81</v>
      </c>
      <c r="E190" s="22">
        <f t="shared" si="9"/>
        <v>5.3699998954148676E-3</v>
      </c>
      <c r="F190" s="22">
        <f t="shared" si="10"/>
        <v>3.0717048120205481E-2</v>
      </c>
      <c r="G190" s="22">
        <f t="shared" si="11"/>
        <v>5.4746796068183556E-3</v>
      </c>
      <c r="H190" s="20">
        <f>MAX($B$4:B190)</f>
        <v>124752.53</v>
      </c>
      <c r="I190" s="18">
        <f t="shared" si="8"/>
        <v>0.85393915814590216</v>
      </c>
      <c r="J190" s="19">
        <f>MAX($C$4:C190)</f>
        <v>713.44</v>
      </c>
      <c r="K190" s="18">
        <f>(J190/C190)-1</f>
        <v>1.1941872981700756</v>
      </c>
      <c r="L190">
        <f>MAX($D$4:D190)</f>
        <v>234.86</v>
      </c>
      <c r="M190" s="18">
        <f>(L190/D190)-1</f>
        <v>1.9063234748174733</v>
      </c>
    </row>
    <row r="191" spans="1:13" ht="15.5" x14ac:dyDescent="0.35">
      <c r="A191" s="54">
        <v>46117</v>
      </c>
      <c r="B191" s="21">
        <v>68981.899999999994</v>
      </c>
      <c r="C191" s="15">
        <v>330.99</v>
      </c>
      <c r="D191" s="15">
        <v>81.849999999999994</v>
      </c>
      <c r="E191" s="22">
        <f t="shared" si="9"/>
        <v>2.5135487138455703E-2</v>
      </c>
      <c r="F191" s="22">
        <f t="shared" si="10"/>
        <v>1.7960941104105954E-2</v>
      </c>
      <c r="G191" s="22">
        <f t="shared" si="11"/>
        <v>1.2869694344759264E-2</v>
      </c>
      <c r="H191" s="20">
        <f>MAX($B$4:B191)</f>
        <v>124752.53</v>
      </c>
      <c r="I191" s="18">
        <f t="shared" si="8"/>
        <v>0.80848208008187661</v>
      </c>
      <c r="J191" s="19">
        <f>MAX($C$4:C191)</f>
        <v>713.44</v>
      </c>
      <c r="K191" s="18">
        <f>(J191/C191)-1</f>
        <v>1.1554729750143511</v>
      </c>
      <c r="L191">
        <f>MAX($D$4:D191)</f>
        <v>234.86</v>
      </c>
      <c r="M191" s="18">
        <f>(L191/D191)-1</f>
        <v>1.869395235186317</v>
      </c>
    </row>
    <row r="192" spans="1:13" ht="15.5" x14ac:dyDescent="0.35">
      <c r="A192" s="54">
        <v>46118</v>
      </c>
      <c r="B192" s="21">
        <v>68859.83</v>
      </c>
      <c r="C192" s="15">
        <v>326.2</v>
      </c>
      <c r="D192" s="15">
        <v>80.150000000000006</v>
      </c>
      <c r="E192" s="22">
        <f t="shared" si="9"/>
        <v>-1.769594632794913E-3</v>
      </c>
      <c r="F192" s="22">
        <f t="shared" si="10"/>
        <v>-1.4471736306232885E-2</v>
      </c>
      <c r="G192" s="22">
        <f t="shared" si="11"/>
        <v>-2.0769700671960711E-2</v>
      </c>
      <c r="H192" s="20">
        <f>MAX($B$4:B192)</f>
        <v>124752.53</v>
      </c>
      <c r="I192" s="18">
        <f t="shared" si="8"/>
        <v>0.81168803350226093</v>
      </c>
      <c r="J192" s="19">
        <f>MAX($C$4:C192)</f>
        <v>713.44</v>
      </c>
      <c r="K192" s="18">
        <f>(J192/C192)-1</f>
        <v>1.1871244635193134</v>
      </c>
      <c r="L192">
        <f>MAX($D$4:D192)</f>
        <v>234.86</v>
      </c>
      <c r="M192" s="18">
        <f>(L192/D192)-1</f>
        <v>1.9302557704304428</v>
      </c>
    </row>
    <row r="193" spans="1:13" ht="15.5" x14ac:dyDescent="0.35">
      <c r="A193" s="54">
        <v>46119</v>
      </c>
      <c r="B193" s="21">
        <v>71940.7</v>
      </c>
      <c r="C193" s="15">
        <v>344.64</v>
      </c>
      <c r="D193" s="15">
        <v>85.65</v>
      </c>
      <c r="E193" s="22">
        <f t="shared" si="9"/>
        <v>4.4741179291322597E-2</v>
      </c>
      <c r="F193" s="22">
        <f t="shared" si="10"/>
        <v>5.6529736358062577E-2</v>
      </c>
      <c r="G193" s="22">
        <f t="shared" si="11"/>
        <v>6.8621334996880945E-2</v>
      </c>
      <c r="H193" s="20">
        <f>MAX($B$4:B193)</f>
        <v>124752.53</v>
      </c>
      <c r="I193" s="18">
        <f t="shared" si="8"/>
        <v>0.73410225366169635</v>
      </c>
      <c r="J193" s="19">
        <f>MAX($C$4:C193)</f>
        <v>713.44</v>
      </c>
      <c r="K193" s="18">
        <f>(J193/C193)-1</f>
        <v>1.0701021355617457</v>
      </c>
      <c r="L193">
        <f>MAX($D$4:D193)</f>
        <v>234.86</v>
      </c>
      <c r="M193" s="18">
        <f>(L193/D193)-1</f>
        <v>1.7420899007589026</v>
      </c>
    </row>
    <row r="194" spans="1:13" ht="15.5" x14ac:dyDescent="0.35">
      <c r="A194" s="54">
        <v>46120</v>
      </c>
      <c r="B194" s="21">
        <v>71123.360000000001</v>
      </c>
      <c r="C194" s="15">
        <v>325.72000000000003</v>
      </c>
      <c r="D194" s="15">
        <v>82.58</v>
      </c>
      <c r="E194" s="22">
        <f t="shared" si="9"/>
        <v>-1.1361301738793128E-2</v>
      </c>
      <c r="F194" s="22">
        <f t="shared" si="10"/>
        <v>-5.4897864438254285E-2</v>
      </c>
      <c r="G194" s="22">
        <f t="shared" si="11"/>
        <v>-3.5843549328663293E-2</v>
      </c>
      <c r="H194" s="20">
        <f>MAX($B$4:B194)</f>
        <v>124752.53</v>
      </c>
      <c r="I194" s="18">
        <f t="shared" si="8"/>
        <v>0.75403032140213844</v>
      </c>
      <c r="J194" s="19">
        <f>MAX($C$4:C194)</f>
        <v>713.44</v>
      </c>
      <c r="K194" s="18">
        <f>(J194/C194)-1</f>
        <v>1.1903475377624955</v>
      </c>
      <c r="L194">
        <f>MAX($D$4:D194)</f>
        <v>234.86</v>
      </c>
      <c r="M194" s="18">
        <f>(L194/D194)-1</f>
        <v>1.8440300314846212</v>
      </c>
    </row>
    <row r="195" spans="1:13" ht="15.5" x14ac:dyDescent="0.35">
      <c r="A195" s="54">
        <v>46121</v>
      </c>
      <c r="B195" s="21">
        <v>71767.83</v>
      </c>
      <c r="C195" s="15">
        <v>347.11</v>
      </c>
      <c r="D195" s="15">
        <v>83.3</v>
      </c>
      <c r="E195" s="22">
        <f t="shared" si="9"/>
        <v>9.0612985663218737E-3</v>
      </c>
      <c r="F195" s="22">
        <f t="shared" si="10"/>
        <v>6.5669900528060765E-2</v>
      </c>
      <c r="G195" s="22">
        <f t="shared" si="11"/>
        <v>8.718818115766469E-3</v>
      </c>
      <c r="H195" s="20">
        <f>MAX($B$4:B195)</f>
        <v>124752.53</v>
      </c>
      <c r="I195" s="18">
        <f t="shared" si="8"/>
        <v>0.73827925408919293</v>
      </c>
      <c r="J195" s="19">
        <f>MAX($C$4:C195)</f>
        <v>713.44</v>
      </c>
      <c r="K195" s="18">
        <f>(J195/C195)-1</f>
        <v>1.0553714960675289</v>
      </c>
      <c r="L195">
        <f>MAX($D$4:D195)</f>
        <v>234.86</v>
      </c>
      <c r="M195" s="18">
        <f>(L195/D195)-1</f>
        <v>1.8194477791116448</v>
      </c>
    </row>
    <row r="196" spans="1:13" ht="15.5" x14ac:dyDescent="0.35">
      <c r="A196" s="54">
        <v>46122</v>
      </c>
      <c r="B196" s="21">
        <v>72979.05</v>
      </c>
      <c r="C196" s="15">
        <v>344.15</v>
      </c>
      <c r="D196" s="15">
        <v>84.83</v>
      </c>
      <c r="E196" s="22">
        <f t="shared" si="9"/>
        <v>1.6876921038298187E-2</v>
      </c>
      <c r="F196" s="22">
        <f t="shared" si="10"/>
        <v>-8.5275561061336491E-3</v>
      </c>
      <c r="G196" s="22">
        <f t="shared" si="11"/>
        <v>1.8367346938775508E-2</v>
      </c>
      <c r="H196" s="20">
        <f>MAX($B$4:B196)</f>
        <v>124752.53</v>
      </c>
      <c r="I196" s="18">
        <f t="shared" si="8"/>
        <v>0.70942934992987716</v>
      </c>
      <c r="J196" s="19">
        <f>MAX($C$4:C196)</f>
        <v>713.44</v>
      </c>
      <c r="K196" s="18">
        <f>(J196/C196)-1</f>
        <v>1.0730495423507196</v>
      </c>
      <c r="L196">
        <f>MAX($D$4:D196)</f>
        <v>234.86</v>
      </c>
      <c r="M196" s="18">
        <f>(L196/D196)-1</f>
        <v>1.7685960155605329</v>
      </c>
    </row>
    <row r="197" spans="1:13" ht="15.5" x14ac:dyDescent="0.35">
      <c r="A197" s="54">
        <v>46123</v>
      </c>
      <c r="B197" s="21">
        <v>73054.27</v>
      </c>
      <c r="C197" s="15">
        <v>338.66</v>
      </c>
      <c r="D197" s="15">
        <v>84.95</v>
      </c>
      <c r="E197" s="22">
        <f t="shared" si="9"/>
        <v>1.030706757624289E-3</v>
      </c>
      <c r="F197" s="22">
        <f t="shared" si="10"/>
        <v>-1.5952346360598391E-2</v>
      </c>
      <c r="G197" s="22">
        <f t="shared" si="11"/>
        <v>1.4145938936698244E-3</v>
      </c>
      <c r="H197" s="20">
        <f>MAX($B$4:B197)</f>
        <v>124752.53</v>
      </c>
      <c r="I197" s="18">
        <f t="shared" ref="I197:I260" si="12">(H197/B197)-1</f>
        <v>0.70766924370060758</v>
      </c>
      <c r="J197" s="19">
        <f>MAX($C$4:C197)</f>
        <v>713.44</v>
      </c>
      <c r="K197" s="18">
        <f>(J197/C197)-1</f>
        <v>1.1066556428276146</v>
      </c>
      <c r="L197">
        <f>MAX($D$4:D197)</f>
        <v>234.86</v>
      </c>
      <c r="M197" s="18">
        <f>(L197/D197)-1</f>
        <v>1.7646851088875808</v>
      </c>
    </row>
    <row r="198" spans="1:13" ht="15.5" x14ac:dyDescent="0.35">
      <c r="A198" s="54">
        <v>46124</v>
      </c>
      <c r="B198" s="21">
        <v>70753.41</v>
      </c>
      <c r="C198" s="15">
        <v>335.12</v>
      </c>
      <c r="D198" s="15">
        <v>81.540000000000006</v>
      </c>
      <c r="E198" s="22">
        <f t="shared" ref="E198:E261" si="13">(B198/B197)-1</f>
        <v>-3.1495215816953581E-2</v>
      </c>
      <c r="F198" s="22">
        <f t="shared" ref="F198:F261" si="14">(C198/C197)-1</f>
        <v>-1.0452961672473893E-2</v>
      </c>
      <c r="G198" s="22">
        <f t="shared" ref="G198:G261" si="15">(D198/D197)-1</f>
        <v>-4.0141259564449583E-2</v>
      </c>
      <c r="H198" s="20">
        <f>MAX($B$4:B198)</f>
        <v>124752.53</v>
      </c>
      <c r="I198" s="18">
        <f t="shared" si="12"/>
        <v>0.76320166052773986</v>
      </c>
      <c r="J198" s="19">
        <f>MAX($C$4:C198)</f>
        <v>713.44</v>
      </c>
      <c r="K198" s="18">
        <f>(J198/C198)-1</f>
        <v>1.1289090475053714</v>
      </c>
      <c r="L198">
        <f>MAX($D$4:D198)</f>
        <v>234.86</v>
      </c>
      <c r="M198" s="18">
        <f>(L198/D198)-1</f>
        <v>1.8803041452048075</v>
      </c>
    </row>
    <row r="199" spans="1:13" ht="15.5" x14ac:dyDescent="0.35">
      <c r="A199" s="54">
        <v>46125</v>
      </c>
      <c r="B199" s="21">
        <v>74484.639999999999</v>
      </c>
      <c r="C199" s="15">
        <v>346.79</v>
      </c>
      <c r="D199" s="15">
        <v>86.66</v>
      </c>
      <c r="E199" s="22">
        <f t="shared" si="13"/>
        <v>5.2735691467026058E-2</v>
      </c>
      <c r="F199" s="22">
        <f t="shared" si="14"/>
        <v>3.482334686082611E-2</v>
      </c>
      <c r="G199" s="22">
        <f t="shared" si="15"/>
        <v>6.279126808928126E-2</v>
      </c>
      <c r="H199" s="20">
        <f>MAX($B$4:B199)</f>
        <v>124752.53</v>
      </c>
      <c r="I199" s="18">
        <f t="shared" si="12"/>
        <v>0.67487592072674318</v>
      </c>
      <c r="J199" s="19">
        <f>MAX($C$4:C199)</f>
        <v>713.44</v>
      </c>
      <c r="K199" s="18">
        <f>(J199/C199)-1</f>
        <v>1.0572680873150899</v>
      </c>
      <c r="L199">
        <f>MAX($D$4:D199)</f>
        <v>234.86</v>
      </c>
      <c r="M199" s="18">
        <f>(L199/D199)-1</f>
        <v>1.7101315485806605</v>
      </c>
    </row>
    <row r="200" spans="1:13" ht="15.5" x14ac:dyDescent="0.35">
      <c r="A200" s="54">
        <v>46126</v>
      </c>
      <c r="B200" s="21">
        <v>74181.61</v>
      </c>
      <c r="C200" s="15">
        <v>344.34</v>
      </c>
      <c r="D200" s="15">
        <v>83.77</v>
      </c>
      <c r="E200" s="22">
        <f t="shared" si="13"/>
        <v>-4.0683555696852114E-3</v>
      </c>
      <c r="F200" s="22">
        <f t="shared" si="14"/>
        <v>-7.0647942558899057E-3</v>
      </c>
      <c r="G200" s="22">
        <f t="shared" si="15"/>
        <v>-3.3348719132240912E-2</v>
      </c>
      <c r="H200" s="20">
        <f>MAX($B$4:B200)</f>
        <v>124752.53</v>
      </c>
      <c r="I200" s="18">
        <f t="shared" si="12"/>
        <v>0.68171774648730321</v>
      </c>
      <c r="J200" s="19">
        <f>MAX($C$4:C200)</f>
        <v>713.44</v>
      </c>
      <c r="K200" s="18">
        <f>(J200/C200)-1</f>
        <v>1.0719056746239186</v>
      </c>
      <c r="L200">
        <f>MAX($D$4:D200)</f>
        <v>234.86</v>
      </c>
      <c r="M200" s="18">
        <f>(L200/D200)-1</f>
        <v>1.8036289841231947</v>
      </c>
    </row>
    <row r="201" spans="1:13" ht="15.5" x14ac:dyDescent="0.35">
      <c r="A201" s="54">
        <v>46127</v>
      </c>
      <c r="B201" s="21">
        <v>74805.08</v>
      </c>
      <c r="C201" s="15">
        <v>344.89</v>
      </c>
      <c r="D201" s="15">
        <v>84.92</v>
      </c>
      <c r="E201" s="22">
        <f t="shared" si="13"/>
        <v>8.4046436846005879E-3</v>
      </c>
      <c r="F201" s="22">
        <f t="shared" si="14"/>
        <v>1.5972585235524139E-3</v>
      </c>
      <c r="G201" s="22">
        <f t="shared" si="15"/>
        <v>1.3728064939716011E-2</v>
      </c>
      <c r="H201" s="20">
        <f>MAX($B$4:B201)</f>
        <v>124752.53</v>
      </c>
      <c r="I201" s="18">
        <f t="shared" si="12"/>
        <v>0.66770131119437348</v>
      </c>
      <c r="J201" s="19">
        <f>MAX($C$4:C201)</f>
        <v>713.44</v>
      </c>
      <c r="K201" s="18">
        <f>(J201/C201)-1</f>
        <v>1.0686015831134568</v>
      </c>
      <c r="L201">
        <f>MAX($D$4:D201)</f>
        <v>234.86</v>
      </c>
      <c r="M201" s="18">
        <f>(L201/D201)-1</f>
        <v>1.7656617993405561</v>
      </c>
    </row>
    <row r="202" spans="1:13" ht="15.5" x14ac:dyDescent="0.35">
      <c r="A202" s="54">
        <v>46128</v>
      </c>
      <c r="B202" s="21">
        <v>75152.13</v>
      </c>
      <c r="C202" s="15">
        <v>343.45</v>
      </c>
      <c r="D202" s="15">
        <v>88.99</v>
      </c>
      <c r="E202" s="22">
        <f t="shared" si="13"/>
        <v>4.6393908007318352E-3</v>
      </c>
      <c r="F202" s="22">
        <f t="shared" si="14"/>
        <v>-4.1752442807851953E-3</v>
      </c>
      <c r="G202" s="22">
        <f t="shared" si="15"/>
        <v>4.7927461139896321E-2</v>
      </c>
      <c r="H202" s="20">
        <f>MAX($B$4:B202)</f>
        <v>124752.53</v>
      </c>
      <c r="I202" s="18">
        <f t="shared" si="12"/>
        <v>0.65999992282321185</v>
      </c>
      <c r="J202" s="19">
        <f>MAX($C$4:C202)</f>
        <v>713.44</v>
      </c>
      <c r="K202" s="18">
        <f>(J202/C202)-1</f>
        <v>1.0772747124763433</v>
      </c>
      <c r="L202">
        <f>MAX($D$4:D202)</f>
        <v>234.86</v>
      </c>
      <c r="M202" s="18">
        <f>(L202/D202)-1</f>
        <v>1.6391729407798632</v>
      </c>
    </row>
    <row r="203" spans="1:13" ht="15.5" x14ac:dyDescent="0.35">
      <c r="A203" s="54">
        <v>46129</v>
      </c>
      <c r="B203" s="21">
        <v>77126.880000000005</v>
      </c>
      <c r="C203" s="15">
        <v>348.27</v>
      </c>
      <c r="D203" s="15">
        <v>88.87</v>
      </c>
      <c r="E203" s="22">
        <f t="shared" si="13"/>
        <v>2.6276700341028247E-2</v>
      </c>
      <c r="F203" s="22">
        <f t="shared" si="14"/>
        <v>1.4034066094045672E-2</v>
      </c>
      <c r="G203" s="22">
        <f t="shared" si="15"/>
        <v>-1.3484661197886716E-3</v>
      </c>
      <c r="H203" s="20">
        <f>MAX($B$4:B203)</f>
        <v>124752.53</v>
      </c>
      <c r="I203" s="18">
        <f t="shared" si="12"/>
        <v>0.61749742761537862</v>
      </c>
      <c r="J203" s="19">
        <f>MAX($C$4:C203)</f>
        <v>713.44</v>
      </c>
      <c r="K203" s="18">
        <f>(J203/C203)-1</f>
        <v>1.0485255692422548</v>
      </c>
      <c r="L203">
        <f>MAX($D$4:D203)</f>
        <v>234.86</v>
      </c>
      <c r="M203" s="18">
        <f>(L203/D203)-1</f>
        <v>1.6427365815235739</v>
      </c>
    </row>
    <row r="204" spans="1:13" ht="15.5" x14ac:dyDescent="0.35">
      <c r="A204" s="54">
        <v>46130</v>
      </c>
      <c r="B204" s="21">
        <v>75726.210000000006</v>
      </c>
      <c r="C204" s="15">
        <v>349.73</v>
      </c>
      <c r="D204" s="15">
        <v>86.2</v>
      </c>
      <c r="E204" s="22">
        <f t="shared" si="13"/>
        <v>-1.8160594594258117E-2</v>
      </c>
      <c r="F204" s="22">
        <f t="shared" si="14"/>
        <v>4.1921497688575116E-3</v>
      </c>
      <c r="G204" s="22">
        <f t="shared" si="15"/>
        <v>-3.0043884325419157E-2</v>
      </c>
      <c r="H204" s="20">
        <f>MAX($B$4:B204)</f>
        <v>124752.53</v>
      </c>
      <c r="I204" s="18">
        <f t="shared" si="12"/>
        <v>0.64741547213309625</v>
      </c>
      <c r="J204" s="19">
        <f>MAX($C$4:C204)</f>
        <v>713.44</v>
      </c>
      <c r="K204" s="18">
        <f>(J204/C204)-1</f>
        <v>1.0399736939925086</v>
      </c>
      <c r="L204">
        <f>MAX($D$4:D204)</f>
        <v>234.86</v>
      </c>
      <c r="M204" s="18">
        <f>(L204/D204)-1</f>
        <v>1.7245939675174013</v>
      </c>
    </row>
    <row r="205" spans="1:13" ht="15.5" x14ac:dyDescent="0.35">
      <c r="A205" s="54">
        <v>46131</v>
      </c>
      <c r="B205" s="21">
        <v>73856.350000000006</v>
      </c>
      <c r="C205" s="15">
        <v>347.68</v>
      </c>
      <c r="D205" s="15">
        <v>83.58</v>
      </c>
      <c r="E205" s="22">
        <f t="shared" si="13"/>
        <v>-2.4692375334775085E-2</v>
      </c>
      <c r="F205" s="22">
        <f t="shared" si="14"/>
        <v>-5.8616647127784915E-3</v>
      </c>
      <c r="G205" s="22">
        <f t="shared" si="15"/>
        <v>-3.039443155452437E-2</v>
      </c>
      <c r="H205" s="20">
        <f>MAX($B$4:B205)</f>
        <v>124752.53</v>
      </c>
      <c r="I205" s="18">
        <f t="shared" si="12"/>
        <v>0.68912395481228073</v>
      </c>
      <c r="J205" s="19">
        <f>MAX($C$4:C205)</f>
        <v>713.44</v>
      </c>
      <c r="K205" s="18">
        <f>(J205/C205)-1</f>
        <v>1.0520018407731246</v>
      </c>
      <c r="L205">
        <f>MAX($D$4:D205)</f>
        <v>234.86</v>
      </c>
      <c r="M205" s="18">
        <f>(L205/D205)-1</f>
        <v>1.810002392916966</v>
      </c>
    </row>
    <row r="206" spans="1:13" ht="15.5" x14ac:dyDescent="0.35">
      <c r="A206" s="54">
        <v>46132</v>
      </c>
      <c r="B206" s="21">
        <v>75872.52</v>
      </c>
      <c r="C206" s="15">
        <v>353.44</v>
      </c>
      <c r="D206" s="15">
        <v>85.33</v>
      </c>
      <c r="E206" s="22">
        <f t="shared" si="13"/>
        <v>2.7298532895275729E-2</v>
      </c>
      <c r="F206" s="22">
        <f t="shared" si="14"/>
        <v>1.656695812241149E-2</v>
      </c>
      <c r="G206" s="22">
        <f t="shared" si="15"/>
        <v>2.0938023450586263E-2</v>
      </c>
      <c r="H206" s="20">
        <f>MAX($B$4:B206)</f>
        <v>124752.53</v>
      </c>
      <c r="I206" s="18">
        <f t="shared" si="12"/>
        <v>0.64423865188608453</v>
      </c>
      <c r="J206" s="19">
        <f>MAX($C$4:C206)</f>
        <v>713.44</v>
      </c>
      <c r="K206" s="18">
        <f>(J206/C206)-1</f>
        <v>1.0185604345857855</v>
      </c>
      <c r="L206">
        <f>MAX($D$4:D206)</f>
        <v>234.86</v>
      </c>
      <c r="M206" s="18">
        <f>(L206/D206)-1</f>
        <v>1.7523731395757647</v>
      </c>
    </row>
    <row r="207" spans="1:13" ht="15.5" x14ac:dyDescent="0.35">
      <c r="A207" s="54">
        <v>46133</v>
      </c>
      <c r="B207" s="21">
        <v>76352.78</v>
      </c>
      <c r="C207" s="15">
        <v>385.06</v>
      </c>
      <c r="D207" s="15">
        <v>86.03</v>
      </c>
      <c r="E207" s="22">
        <f t="shared" si="13"/>
        <v>6.3298279798797985E-3</v>
      </c>
      <c r="F207" s="22">
        <f t="shared" si="14"/>
        <v>8.9463558171118063E-2</v>
      </c>
      <c r="G207" s="22">
        <f t="shared" si="15"/>
        <v>8.2034454470878426E-3</v>
      </c>
      <c r="H207" s="20">
        <f>MAX($B$4:B207)</f>
        <v>124752.53</v>
      </c>
      <c r="I207" s="18">
        <f t="shared" si="12"/>
        <v>0.63389636893378354</v>
      </c>
      <c r="J207" s="19">
        <f>MAX($C$4:C207)</f>
        <v>713.44</v>
      </c>
      <c r="K207" s="18">
        <f>(J207/C207)-1</f>
        <v>0.85280216070222825</v>
      </c>
      <c r="L207">
        <f>MAX($D$4:D207)</f>
        <v>234.86</v>
      </c>
      <c r="M207" s="18">
        <f>(L207/D207)-1</f>
        <v>1.7299779146809255</v>
      </c>
    </row>
    <row r="208" spans="1:13" ht="15.5" x14ac:dyDescent="0.35">
      <c r="A208" s="54">
        <v>46134</v>
      </c>
      <c r="B208" s="21">
        <v>78203.100000000006</v>
      </c>
      <c r="C208" s="15">
        <v>366.75</v>
      </c>
      <c r="D208" s="15">
        <v>86.92</v>
      </c>
      <c r="E208" s="22">
        <f t="shared" si="13"/>
        <v>2.4233826194671737E-2</v>
      </c>
      <c r="F208" s="22">
        <f t="shared" si="14"/>
        <v>-4.7551031008154609E-2</v>
      </c>
      <c r="G208" s="22">
        <f t="shared" si="15"/>
        <v>1.0345228408694673E-2</v>
      </c>
      <c r="H208" s="20">
        <f>MAX($B$4:B208)</f>
        <v>124752.53</v>
      </c>
      <c r="I208" s="18">
        <f t="shared" si="12"/>
        <v>0.5952376568192308</v>
      </c>
      <c r="J208" s="19">
        <f>MAX($C$4:C208)</f>
        <v>713.44</v>
      </c>
      <c r="K208" s="18">
        <f>(J208/C208)-1</f>
        <v>0.94530334014996598</v>
      </c>
      <c r="L208">
        <f>MAX($D$4:D208)</f>
        <v>234.86</v>
      </c>
      <c r="M208" s="18">
        <f>(L208/D208)-1</f>
        <v>1.7020248504371835</v>
      </c>
    </row>
    <row r="209" spans="1:13" ht="15.5" x14ac:dyDescent="0.35">
      <c r="A209" s="54">
        <v>46135</v>
      </c>
      <c r="B209" s="21">
        <v>78268.95</v>
      </c>
      <c r="C209" s="15">
        <v>379.1</v>
      </c>
      <c r="D209" s="15">
        <v>86.14</v>
      </c>
      <c r="E209" s="22">
        <f t="shared" si="13"/>
        <v>8.4203823122086519E-4</v>
      </c>
      <c r="F209" s="22">
        <f t="shared" si="14"/>
        <v>3.3674164962508524E-2</v>
      </c>
      <c r="G209" s="22">
        <f t="shared" si="15"/>
        <v>-8.9737689829728629E-3</v>
      </c>
      <c r="H209" s="20">
        <f>MAX($B$4:B209)</f>
        <v>124752.53</v>
      </c>
      <c r="I209" s="18">
        <f t="shared" si="12"/>
        <v>0.59389553584147992</v>
      </c>
      <c r="J209" s="19">
        <f>MAX($C$4:C209)</f>
        <v>713.44</v>
      </c>
      <c r="K209" s="18">
        <f>(J209/C209)-1</f>
        <v>0.88193088894750726</v>
      </c>
      <c r="L209">
        <f>MAX($D$4:D209)</f>
        <v>234.86</v>
      </c>
      <c r="M209" s="18">
        <f>(L209/D209)-1</f>
        <v>1.7264917576039007</v>
      </c>
    </row>
    <row r="210" spans="1:13" ht="15.5" x14ac:dyDescent="0.35">
      <c r="A210" s="54">
        <v>46136</v>
      </c>
      <c r="B210" s="21">
        <v>77455.320000000007</v>
      </c>
      <c r="C210" s="15">
        <v>368.4</v>
      </c>
      <c r="D210" s="15">
        <v>86.23</v>
      </c>
      <c r="E210" s="22">
        <f t="shared" si="13"/>
        <v>-1.0395310017573878E-2</v>
      </c>
      <c r="F210" s="22">
        <f t="shared" si="14"/>
        <v>-2.8224742811923109E-2</v>
      </c>
      <c r="G210" s="22">
        <f t="shared" si="15"/>
        <v>1.0448107731599876E-3</v>
      </c>
      <c r="H210" s="20">
        <f>MAX($B$4:B210)</f>
        <v>124752.53</v>
      </c>
      <c r="I210" s="18">
        <f t="shared" si="12"/>
        <v>0.61063862366071153</v>
      </c>
      <c r="J210" s="19">
        <f>MAX($C$4:C210)</f>
        <v>713.44</v>
      </c>
      <c r="K210" s="18">
        <f>(J210/C210)-1</f>
        <v>0.93659066232356158</v>
      </c>
      <c r="L210">
        <f>MAX($D$4:D210)</f>
        <v>234.86</v>
      </c>
      <c r="M210" s="18">
        <f>(L210/D210)-1</f>
        <v>1.7236460628551549</v>
      </c>
    </row>
    <row r="211" spans="1:13" ht="15.5" x14ac:dyDescent="0.35">
      <c r="A211" s="54">
        <v>46137</v>
      </c>
      <c r="B211" s="21">
        <v>77612.02</v>
      </c>
      <c r="C211" s="15">
        <v>372.53</v>
      </c>
      <c r="D211" s="15">
        <v>86.15</v>
      </c>
      <c r="E211" s="22">
        <f t="shared" si="13"/>
        <v>2.0231018347092178E-3</v>
      </c>
      <c r="F211" s="22">
        <f t="shared" si="14"/>
        <v>1.1210640608034783E-2</v>
      </c>
      <c r="G211" s="22">
        <f t="shared" si="15"/>
        <v>-9.2775136263478775E-4</v>
      </c>
      <c r="H211" s="20">
        <f>MAX($B$4:B211)</f>
        <v>124752.53</v>
      </c>
      <c r="I211" s="18">
        <f t="shared" si="12"/>
        <v>0.6073867166451794</v>
      </c>
      <c r="J211" s="19">
        <f>MAX($C$4:C211)</f>
        <v>713.44</v>
      </c>
      <c r="K211" s="18">
        <f>(J211/C211)-1</f>
        <v>0.91512092985799831</v>
      </c>
      <c r="L211">
        <f>MAX($D$4:D211)</f>
        <v>234.86</v>
      </c>
      <c r="M211" s="18">
        <f>(L211/D211)-1</f>
        <v>1.7261752756819502</v>
      </c>
    </row>
    <row r="212" spans="1:13" ht="15.5" x14ac:dyDescent="0.35">
      <c r="A212" s="54">
        <v>46138</v>
      </c>
      <c r="B212" s="21">
        <v>78657.539999999994</v>
      </c>
      <c r="C212" s="15">
        <v>391.8</v>
      </c>
      <c r="D212" s="15">
        <v>86.97</v>
      </c>
      <c r="E212" s="22">
        <f t="shared" si="13"/>
        <v>1.3471109243129886E-2</v>
      </c>
      <c r="F212" s="22">
        <f t="shared" si="14"/>
        <v>5.1727377660859553E-2</v>
      </c>
      <c r="G212" s="22">
        <f t="shared" si="15"/>
        <v>9.5182820661636747E-3</v>
      </c>
      <c r="H212" s="20">
        <f>MAX($B$4:B212)</f>
        <v>124752.53</v>
      </c>
      <c r="I212" s="18">
        <f t="shared" si="12"/>
        <v>0.58602125110955683</v>
      </c>
      <c r="J212" s="19">
        <f>MAX($C$4:C212)</f>
        <v>713.44</v>
      </c>
      <c r="K212" s="18">
        <f>(J212/C212)-1</f>
        <v>0.82092904543134271</v>
      </c>
      <c r="L212">
        <f>MAX($D$4:D212)</f>
        <v>234.86</v>
      </c>
      <c r="M212" s="18">
        <f>(L212/D212)-1</f>
        <v>1.7004714269288264</v>
      </c>
    </row>
    <row r="213" spans="1:13" ht="15.5" x14ac:dyDescent="0.35">
      <c r="A213" s="54">
        <v>46139</v>
      </c>
      <c r="B213" s="21">
        <v>77366.62</v>
      </c>
      <c r="C213" s="15">
        <v>380.03</v>
      </c>
      <c r="D213" s="15">
        <v>84.82</v>
      </c>
      <c r="E213" s="22">
        <f t="shared" si="13"/>
        <v>-1.6411904059038696E-2</v>
      </c>
      <c r="F213" s="22">
        <f t="shared" si="14"/>
        <v>-3.004083716181738E-2</v>
      </c>
      <c r="G213" s="22">
        <f t="shared" si="15"/>
        <v>-2.4721168218926115E-2</v>
      </c>
      <c r="H213" s="20">
        <f>MAX($B$4:B213)</f>
        <v>124752.53</v>
      </c>
      <c r="I213" s="18">
        <f t="shared" si="12"/>
        <v>0.61248520356711977</v>
      </c>
      <c r="J213" s="19">
        <f>MAX($C$4:C213)</f>
        <v>713.44</v>
      </c>
      <c r="K213" s="18">
        <f>(J213/C213)-1</f>
        <v>0.87732547430466035</v>
      </c>
      <c r="L213">
        <f>MAX($D$4:D213)</f>
        <v>234.86</v>
      </c>
      <c r="M213" s="18">
        <f>(L213/D213)-1</f>
        <v>1.7689224239566146</v>
      </c>
    </row>
    <row r="214" spans="1:13" ht="15.5" x14ac:dyDescent="0.35">
      <c r="A214" s="54">
        <v>46140</v>
      </c>
      <c r="B214" s="21">
        <v>76350.67</v>
      </c>
      <c r="C214" s="15">
        <v>378.12</v>
      </c>
      <c r="D214" s="15">
        <v>84.04</v>
      </c>
      <c r="E214" s="22">
        <f t="shared" si="13"/>
        <v>-1.3131632220717337E-2</v>
      </c>
      <c r="F214" s="22">
        <f t="shared" si="14"/>
        <v>-5.0259190063941528E-3</v>
      </c>
      <c r="G214" s="22">
        <f t="shared" si="15"/>
        <v>-9.1959443527468432E-3</v>
      </c>
      <c r="H214" s="20">
        <f>MAX($B$4:B214)</f>
        <v>124752.53</v>
      </c>
      <c r="I214" s="18">
        <f t="shared" si="12"/>
        <v>0.6339415227135532</v>
      </c>
      <c r="J214" s="19">
        <f>MAX($C$4:C214)</f>
        <v>713.44</v>
      </c>
      <c r="K214" s="18">
        <f>(J214/C214)-1</f>
        <v>0.88680842060721465</v>
      </c>
      <c r="L214">
        <f>MAX($D$4:D214)</f>
        <v>234.86</v>
      </c>
      <c r="M214" s="18">
        <f>(L214/D214)-1</f>
        <v>1.7946216087577342</v>
      </c>
    </row>
    <row r="215" spans="1:13" ht="15.5" x14ac:dyDescent="0.35">
      <c r="A215" s="54">
        <v>46141</v>
      </c>
      <c r="B215" s="21">
        <v>75776.14</v>
      </c>
      <c r="C215" s="15">
        <v>376.22</v>
      </c>
      <c r="D215" s="15">
        <v>83.03</v>
      </c>
      <c r="E215" s="22">
        <f t="shared" si="13"/>
        <v>-7.5248848503883803E-3</v>
      </c>
      <c r="F215" s="22">
        <f t="shared" si="14"/>
        <v>-5.0248598328572758E-3</v>
      </c>
      <c r="G215" s="22">
        <f t="shared" si="15"/>
        <v>-1.201808662541648E-2</v>
      </c>
      <c r="H215" s="20">
        <f>MAX($B$4:B215)</f>
        <v>124752.53</v>
      </c>
      <c r="I215" s="18">
        <f t="shared" si="12"/>
        <v>0.64632996613445859</v>
      </c>
      <c r="J215" s="19">
        <f>MAX($C$4:C215)</f>
        <v>713.44</v>
      </c>
      <c r="K215" s="18">
        <f>(J215/C215)-1</f>
        <v>0.89633724948168636</v>
      </c>
      <c r="L215">
        <f>MAX($D$4:D215)</f>
        <v>234.86</v>
      </c>
      <c r="M215" s="18">
        <f>(L215/D215)-1</f>
        <v>1.8286161628327111</v>
      </c>
    </row>
    <row r="216" spans="1:13" ht="15.5" x14ac:dyDescent="0.35">
      <c r="A216" s="54">
        <v>46142</v>
      </c>
      <c r="B216" s="21">
        <v>76304.320000000007</v>
      </c>
      <c r="C216" s="15">
        <v>379.81</v>
      </c>
      <c r="D216" s="15">
        <v>83.02</v>
      </c>
      <c r="E216" s="22">
        <f t="shared" si="13"/>
        <v>6.9702679497796183E-3</v>
      </c>
      <c r="F216" s="22">
        <f t="shared" si="14"/>
        <v>9.5422890861729392E-3</v>
      </c>
      <c r="G216" s="22">
        <f t="shared" si="15"/>
        <v>-1.2043839576059145E-4</v>
      </c>
      <c r="H216" s="20">
        <f>MAX($B$4:B216)</f>
        <v>124752.53</v>
      </c>
      <c r="I216" s="18">
        <f t="shared" si="12"/>
        <v>0.63493403781070312</v>
      </c>
      <c r="J216" s="19">
        <f>MAX($C$4:C216)</f>
        <v>713.44</v>
      </c>
      <c r="K216" s="18">
        <f>(J216/C216)-1</f>
        <v>0.87841289065585437</v>
      </c>
      <c r="L216">
        <f>MAX($D$4:D216)</f>
        <v>234.86</v>
      </c>
      <c r="M216" s="18">
        <f>(L216/D216)-1</f>
        <v>1.8289568778607568</v>
      </c>
    </row>
    <row r="217" spans="1:13" ht="15.5" x14ac:dyDescent="0.35">
      <c r="A217" s="54">
        <v>46143</v>
      </c>
      <c r="B217" s="21">
        <v>78179</v>
      </c>
      <c r="C217" s="15">
        <v>379.29</v>
      </c>
      <c r="D217" s="15">
        <v>83.72</v>
      </c>
      <c r="E217" s="22">
        <f t="shared" si="13"/>
        <v>2.4568464799895828E-2</v>
      </c>
      <c r="F217" s="22">
        <f t="shared" si="14"/>
        <v>-1.3691056054342399E-3</v>
      </c>
      <c r="G217" s="22">
        <f t="shared" si="15"/>
        <v>8.4317032040472917E-3</v>
      </c>
      <c r="H217" s="20">
        <f>MAX($B$4:B217)</f>
        <v>124752.53</v>
      </c>
      <c r="I217" s="18">
        <f t="shared" si="12"/>
        <v>0.59572941582777972</v>
      </c>
      <c r="J217" s="19">
        <f>MAX($C$4:C217)</f>
        <v>713.44</v>
      </c>
      <c r="K217" s="18">
        <f>(J217/C217)-1</f>
        <v>0.88098816209233055</v>
      </c>
      <c r="L217">
        <f>MAX($D$4:D217)</f>
        <v>234.86</v>
      </c>
      <c r="M217" s="18">
        <f>(L217/D217)-1</f>
        <v>1.8053033922599142</v>
      </c>
    </row>
    <row r="218" spans="1:13" ht="15.5" x14ac:dyDescent="0.35">
      <c r="A218" s="54">
        <v>46144</v>
      </c>
      <c r="B218" s="21">
        <v>78657.25</v>
      </c>
      <c r="C218" s="15">
        <v>383.1</v>
      </c>
      <c r="D218" s="15">
        <v>84.28</v>
      </c>
      <c r="E218" s="22">
        <f t="shared" si="13"/>
        <v>6.1173716726998784E-3</v>
      </c>
      <c r="F218" s="22">
        <f t="shared" si="14"/>
        <v>1.004508423633621E-2</v>
      </c>
      <c r="G218" s="22">
        <f t="shared" si="15"/>
        <v>6.6889632107023367E-3</v>
      </c>
      <c r="H218" s="20">
        <f>MAX($B$4:B218)</f>
        <v>124752.53</v>
      </c>
      <c r="I218" s="18">
        <f t="shared" si="12"/>
        <v>0.58602709858277535</v>
      </c>
      <c r="J218" s="19">
        <f>MAX($C$4:C218)</f>
        <v>713.44</v>
      </c>
      <c r="K218" s="18">
        <f>(J218/C218)-1</f>
        <v>0.86228138867136517</v>
      </c>
      <c r="L218">
        <f>MAX($D$4:D218)</f>
        <v>234.86</v>
      </c>
      <c r="M218" s="18">
        <f>(L218/D218)-1</f>
        <v>1.7866635026103466</v>
      </c>
    </row>
    <row r="219" spans="1:13" ht="15.5" x14ac:dyDescent="0.35">
      <c r="A219" s="54">
        <v>46145</v>
      </c>
      <c r="B219" s="21">
        <v>78538.22</v>
      </c>
      <c r="C219" s="15">
        <v>391.48</v>
      </c>
      <c r="D219" s="15">
        <v>83.9</v>
      </c>
      <c r="E219" s="22">
        <f t="shared" si="13"/>
        <v>-1.5132743644101776E-3</v>
      </c>
      <c r="F219" s="22">
        <f t="shared" si="14"/>
        <v>2.1874184286087228E-2</v>
      </c>
      <c r="G219" s="22">
        <f t="shared" si="15"/>
        <v>-4.508780256288536E-3</v>
      </c>
      <c r="H219" s="20">
        <f>MAX($B$4:B219)</f>
        <v>124752.53</v>
      </c>
      <c r="I219" s="18">
        <f t="shared" si="12"/>
        <v>0.58843083023781273</v>
      </c>
      <c r="J219" s="19">
        <f>MAX($C$4:C219)</f>
        <v>713.44</v>
      </c>
      <c r="K219" s="18">
        <f>(J219/C219)-1</f>
        <v>0.82241749259221431</v>
      </c>
      <c r="L219">
        <f>MAX($D$4:D219)</f>
        <v>234.86</v>
      </c>
      <c r="M219" s="18">
        <f>(L219/D219)-1</f>
        <v>1.7992848629320619</v>
      </c>
    </row>
    <row r="220" spans="1:13" ht="15.5" x14ac:dyDescent="0.35">
      <c r="A220" s="54">
        <v>46146</v>
      </c>
      <c r="B220" s="21">
        <v>79827.91</v>
      </c>
      <c r="C220" s="15">
        <v>406.23</v>
      </c>
      <c r="D220" s="15">
        <v>84.09</v>
      </c>
      <c r="E220" s="22">
        <f t="shared" si="13"/>
        <v>1.642117684867328E-2</v>
      </c>
      <c r="F220" s="22">
        <f t="shared" si="14"/>
        <v>3.7677531419229693E-2</v>
      </c>
      <c r="G220" s="22">
        <f t="shared" si="15"/>
        <v>2.2646007151370107E-3</v>
      </c>
      <c r="H220" s="20">
        <f>MAX($B$4:B220)</f>
        <v>124752.53</v>
      </c>
      <c r="I220" s="18">
        <f t="shared" si="12"/>
        <v>0.56276833503470147</v>
      </c>
      <c r="J220" s="19">
        <f>MAX($C$4:C220)</f>
        <v>713.44</v>
      </c>
      <c r="K220" s="18">
        <f>(J220/C220)-1</f>
        <v>0.75624646136425189</v>
      </c>
      <c r="L220">
        <f>MAX($D$4:D220)</f>
        <v>234.86</v>
      </c>
      <c r="M220" s="18">
        <f>(L220/D220)-1</f>
        <v>1.7929599238910692</v>
      </c>
    </row>
    <row r="221" spans="1:13" ht="15.5" x14ac:dyDescent="0.35">
      <c r="A221" s="54">
        <v>46147</v>
      </c>
      <c r="B221" s="21">
        <v>80927.05</v>
      </c>
      <c r="C221" s="15">
        <v>411.95</v>
      </c>
      <c r="D221" s="15">
        <v>86.32</v>
      </c>
      <c r="E221" s="22">
        <f t="shared" si="13"/>
        <v>1.376886855737558E-2</v>
      </c>
      <c r="F221" s="22">
        <f t="shared" si="14"/>
        <v>1.4080693203357697E-2</v>
      </c>
      <c r="G221" s="22">
        <f t="shared" si="15"/>
        <v>2.6519205613033447E-2</v>
      </c>
      <c r="H221" s="20">
        <f>MAX($B$4:B221)</f>
        <v>124752.53</v>
      </c>
      <c r="I221" s="18">
        <f t="shared" si="12"/>
        <v>0.54154303165628792</v>
      </c>
      <c r="J221" s="19">
        <f>MAX($C$4:C221)</f>
        <v>713.44</v>
      </c>
      <c r="K221" s="18">
        <f>(J221/C221)-1</f>
        <v>0.73186066270178429</v>
      </c>
      <c r="L221">
        <f>MAX($D$4:D221)</f>
        <v>234.86</v>
      </c>
      <c r="M221" s="18">
        <f>(L221/D221)-1</f>
        <v>1.7208063021316038</v>
      </c>
    </row>
    <row r="222" spans="1:13" ht="15.5" x14ac:dyDescent="0.35">
      <c r="A222" s="54">
        <v>46148</v>
      </c>
      <c r="B222" s="21">
        <v>81427.53</v>
      </c>
      <c r="C222" s="15">
        <v>415.71</v>
      </c>
      <c r="D222" s="15">
        <v>89.15</v>
      </c>
      <c r="E222" s="22">
        <f t="shared" si="13"/>
        <v>6.1843351512256284E-3</v>
      </c>
      <c r="F222" s="22">
        <f t="shared" si="14"/>
        <v>9.1273212768538947E-3</v>
      </c>
      <c r="G222" s="22">
        <f t="shared" si="15"/>
        <v>3.2784986098239211E-2</v>
      </c>
      <c r="H222" s="20">
        <f>MAX($B$4:B222)</f>
        <v>124752.53</v>
      </c>
      <c r="I222" s="18">
        <f t="shared" si="12"/>
        <v>0.53206820838112123</v>
      </c>
      <c r="J222" s="19">
        <f>MAX($C$4:C222)</f>
        <v>713.44</v>
      </c>
      <c r="K222" s="18">
        <f>(J222/C222)-1</f>
        <v>0.71619638690433263</v>
      </c>
      <c r="L222">
        <f>MAX($D$4:D222)</f>
        <v>234.86</v>
      </c>
      <c r="M222" s="18">
        <f>(L222/D222)-1</f>
        <v>1.6344363432417275</v>
      </c>
    </row>
    <row r="223" spans="1:13" ht="15.5" x14ac:dyDescent="0.35">
      <c r="A223" s="54">
        <v>46149</v>
      </c>
      <c r="B223" s="21">
        <v>80009.990000000005</v>
      </c>
      <c r="C223" s="15">
        <v>399.72</v>
      </c>
      <c r="D223" s="15">
        <v>88.4</v>
      </c>
      <c r="E223" s="22">
        <f t="shared" si="13"/>
        <v>-1.7408608611853893E-2</v>
      </c>
      <c r="F223" s="22">
        <f t="shared" si="14"/>
        <v>-3.8464314065093319E-2</v>
      </c>
      <c r="G223" s="22">
        <f t="shared" si="15"/>
        <v>-8.4127874369041011E-3</v>
      </c>
      <c r="H223" s="20">
        <f>MAX($B$4:B223)</f>
        <v>124752.53</v>
      </c>
      <c r="I223" s="18">
        <f t="shared" si="12"/>
        <v>0.55921191841168816</v>
      </c>
      <c r="J223" s="19">
        <f>MAX($C$4:C223)</f>
        <v>713.44</v>
      </c>
      <c r="K223" s="18">
        <f>(J223/C223)-1</f>
        <v>0.7848493945762034</v>
      </c>
      <c r="L223">
        <f>MAX($D$4:D223)</f>
        <v>234.86</v>
      </c>
      <c r="M223" s="18">
        <f>(L223/D223)-1</f>
        <v>1.656787330316742</v>
      </c>
    </row>
    <row r="224" spans="1:13" ht="15.5" x14ac:dyDescent="0.35">
      <c r="A224" s="54">
        <v>46150</v>
      </c>
      <c r="B224" s="21">
        <v>80186.759999999995</v>
      </c>
      <c r="C224" s="15">
        <v>400.18</v>
      </c>
      <c r="D224" s="15">
        <v>91.95</v>
      </c>
      <c r="E224" s="22">
        <f t="shared" si="13"/>
        <v>2.209349107530123E-3</v>
      </c>
      <c r="F224" s="22">
        <f t="shared" si="14"/>
        <v>1.1508055638946857E-3</v>
      </c>
      <c r="G224" s="22">
        <f t="shared" si="15"/>
        <v>4.0158371040723839E-2</v>
      </c>
      <c r="H224" s="20">
        <f>MAX($B$4:B224)</f>
        <v>124752.53</v>
      </c>
      <c r="I224" s="18">
        <f t="shared" si="12"/>
        <v>0.5557746690351375</v>
      </c>
      <c r="J224" s="19">
        <f>MAX($C$4:C224)</f>
        <v>713.44</v>
      </c>
      <c r="K224" s="18">
        <f>(J224/C224)-1</f>
        <v>0.78279774101654276</v>
      </c>
      <c r="L224">
        <f>MAX($D$4:D224)</f>
        <v>234.86</v>
      </c>
      <c r="M224" s="18">
        <f>(L224/D224)-1</f>
        <v>1.5542142468733009</v>
      </c>
    </row>
    <row r="225" spans="1:13" ht="15.5" x14ac:dyDescent="0.35">
      <c r="A225" s="54">
        <v>46151</v>
      </c>
      <c r="B225" s="21">
        <v>80664.37</v>
      </c>
      <c r="C225" s="15">
        <v>410.19</v>
      </c>
      <c r="D225" s="15">
        <v>93.15</v>
      </c>
      <c r="E225" s="22">
        <f t="shared" si="13"/>
        <v>5.9562202039338263E-3</v>
      </c>
      <c r="F225" s="22">
        <f t="shared" si="14"/>
        <v>2.5013743815283096E-2</v>
      </c>
      <c r="G225" s="22">
        <f t="shared" si="15"/>
        <v>1.3050570962479746E-2</v>
      </c>
      <c r="H225" s="20">
        <f>MAX($B$4:B225)</f>
        <v>124752.53</v>
      </c>
      <c r="I225" s="18">
        <f t="shared" si="12"/>
        <v>0.5465629992523342</v>
      </c>
      <c r="J225" s="19">
        <f>MAX($C$4:C225)</f>
        <v>713.44</v>
      </c>
      <c r="K225" s="18">
        <f>(J225/C225)-1</f>
        <v>0.7392915478193034</v>
      </c>
      <c r="L225">
        <f>MAX($D$4:D225)</f>
        <v>234.86</v>
      </c>
      <c r="M225" s="18">
        <f>(L225/D225)-1</f>
        <v>1.5213097155126141</v>
      </c>
    </row>
    <row r="226" spans="1:13" ht="15.5" x14ac:dyDescent="0.35">
      <c r="A226" s="54">
        <v>46152</v>
      </c>
      <c r="B226" s="21">
        <v>82138.929999999993</v>
      </c>
      <c r="C226" s="15">
        <v>409.83</v>
      </c>
      <c r="D226" s="15">
        <v>96.43</v>
      </c>
      <c r="E226" s="22">
        <f t="shared" si="13"/>
        <v>1.8280189878133291E-2</v>
      </c>
      <c r="F226" s="22">
        <f t="shared" si="14"/>
        <v>-8.7764206830986957E-4</v>
      </c>
      <c r="G226" s="22">
        <f t="shared" si="15"/>
        <v>3.5212023617820831E-2</v>
      </c>
      <c r="H226" s="20">
        <f>MAX($B$4:B226)</f>
        <v>124752.53</v>
      </c>
      <c r="I226" s="18">
        <f t="shared" si="12"/>
        <v>0.51879906397611952</v>
      </c>
      <c r="J226" s="19">
        <f>MAX($C$4:C226)</f>
        <v>713.44</v>
      </c>
      <c r="K226" s="18">
        <f>(J226/C226)-1</f>
        <v>0.74081936412658922</v>
      </c>
      <c r="L226">
        <f>MAX($D$4:D226)</f>
        <v>234.86</v>
      </c>
      <c r="M226" s="18">
        <f>(L226/D226)-1</f>
        <v>1.4355491029762524</v>
      </c>
    </row>
    <row r="227" spans="1:13" ht="15.5" x14ac:dyDescent="0.35">
      <c r="A227" s="54">
        <v>46153</v>
      </c>
      <c r="B227" s="21">
        <v>81728.3</v>
      </c>
      <c r="C227" s="15">
        <v>416.29</v>
      </c>
      <c r="D227" s="15">
        <v>97.35</v>
      </c>
      <c r="E227" s="22">
        <f t="shared" si="13"/>
        <v>-4.9992129188922707E-3</v>
      </c>
      <c r="F227" s="22">
        <f t="shared" si="14"/>
        <v>1.5762633286972694E-2</v>
      </c>
      <c r="G227" s="22">
        <f t="shared" si="15"/>
        <v>9.5405993985273607E-3</v>
      </c>
      <c r="H227" s="20">
        <f>MAX($B$4:B227)</f>
        <v>124752.53</v>
      </c>
      <c r="I227" s="18">
        <f t="shared" si="12"/>
        <v>0.52643001261496924</v>
      </c>
      <c r="J227" s="19">
        <f>MAX($C$4:C227)</f>
        <v>713.44</v>
      </c>
      <c r="K227" s="18">
        <f>(J227/C227)-1</f>
        <v>0.71380527997309562</v>
      </c>
      <c r="L227">
        <f>MAX($D$4:D227)</f>
        <v>234.86</v>
      </c>
      <c r="M227" s="18">
        <f>(L227/D227)-1</f>
        <v>1.4125321006676943</v>
      </c>
    </row>
    <row r="228" spans="1:13" ht="15.5" x14ac:dyDescent="0.35">
      <c r="A228" s="54">
        <v>46154</v>
      </c>
      <c r="B228" s="21">
        <v>80477.5</v>
      </c>
      <c r="C228" s="15">
        <v>411.25</v>
      </c>
      <c r="D228" s="15">
        <v>94.28</v>
      </c>
      <c r="E228" s="22">
        <f t="shared" si="13"/>
        <v>-1.5304368254325684E-2</v>
      </c>
      <c r="F228" s="22">
        <f t="shared" si="14"/>
        <v>-1.2106944677988896E-2</v>
      </c>
      <c r="G228" s="22">
        <f t="shared" si="15"/>
        <v>-3.1535695942475517E-2</v>
      </c>
      <c r="H228" s="20">
        <f>MAX($B$4:B228)</f>
        <v>124752.53</v>
      </c>
      <c r="I228" s="18">
        <f t="shared" si="12"/>
        <v>0.55015414246217875</v>
      </c>
      <c r="J228" s="19">
        <f>MAX($C$4:C228)</f>
        <v>713.44</v>
      </c>
      <c r="K228" s="18">
        <f>(J228/C228)-1</f>
        <v>0.734808510638298</v>
      </c>
      <c r="L228">
        <f>MAX($D$4:D228)</f>
        <v>234.86</v>
      </c>
      <c r="M228" s="18">
        <f>(L228/D228)-1</f>
        <v>1.4910903691132797</v>
      </c>
    </row>
    <row r="229" spans="1:13" ht="15.5" x14ac:dyDescent="0.35">
      <c r="A229" s="54">
        <v>46155</v>
      </c>
      <c r="B229" s="21">
        <v>79277.11</v>
      </c>
      <c r="C229" s="15">
        <v>397.83</v>
      </c>
      <c r="D229" s="15">
        <v>91.09</v>
      </c>
      <c r="E229" s="22">
        <f t="shared" si="13"/>
        <v>-1.4915846043925263E-2</v>
      </c>
      <c r="F229" s="22">
        <f t="shared" si="14"/>
        <v>-3.2632218844984795E-2</v>
      </c>
      <c r="G229" s="22">
        <f t="shared" si="15"/>
        <v>-3.3835383962664389E-2</v>
      </c>
      <c r="H229" s="20">
        <f>MAX($B$4:B229)</f>
        <v>124752.53</v>
      </c>
      <c r="I229" s="18">
        <f t="shared" si="12"/>
        <v>0.5736261072079949</v>
      </c>
      <c r="J229" s="19">
        <f>MAX($C$4:C229)</f>
        <v>713.44</v>
      </c>
      <c r="K229" s="18">
        <f>(J229/C229)-1</f>
        <v>0.79332880878767331</v>
      </c>
      <c r="L229">
        <f>MAX($D$4:D229)</f>
        <v>234.86</v>
      </c>
      <c r="M229" s="18">
        <f>(L229/D229)-1</f>
        <v>1.5783291250411682</v>
      </c>
    </row>
    <row r="230" spans="1:13" ht="15.5" x14ac:dyDescent="0.35">
      <c r="A230" s="54">
        <v>46156</v>
      </c>
      <c r="B230" s="21">
        <v>81051.25</v>
      </c>
      <c r="C230" s="15">
        <v>395.78</v>
      </c>
      <c r="D230" s="15">
        <v>92.15</v>
      </c>
      <c r="E230" s="22">
        <f t="shared" si="13"/>
        <v>2.2378969162725415E-2</v>
      </c>
      <c r="F230" s="22">
        <f t="shared" si="14"/>
        <v>-5.1529547796798081E-3</v>
      </c>
      <c r="G230" s="22">
        <f t="shared" si="15"/>
        <v>1.1636842683060644E-2</v>
      </c>
      <c r="H230" s="20">
        <f>MAX($B$4:B230)</f>
        <v>124752.53</v>
      </c>
      <c r="I230" s="18">
        <f t="shared" si="12"/>
        <v>0.53918082694591374</v>
      </c>
      <c r="J230" s="19">
        <f>MAX($C$4:C230)</f>
        <v>713.44</v>
      </c>
      <c r="K230" s="18">
        <f>(J230/C230)-1</f>
        <v>0.80261761584718805</v>
      </c>
      <c r="L230">
        <f>MAX($D$4:D230)</f>
        <v>234.86</v>
      </c>
      <c r="M230" s="18">
        <f>(L230/D230)-1</f>
        <v>1.5486706456863808</v>
      </c>
    </row>
    <row r="231" spans="1:13" ht="15.5" x14ac:dyDescent="0.35">
      <c r="A231" s="54">
        <v>46157</v>
      </c>
      <c r="B231" s="21">
        <v>79065.679999999993</v>
      </c>
      <c r="C231" s="15">
        <v>381.6</v>
      </c>
      <c r="D231" s="15">
        <v>89.2</v>
      </c>
      <c r="E231" s="22">
        <f t="shared" si="13"/>
        <v>-2.4497709782390853E-2</v>
      </c>
      <c r="F231" s="22">
        <f t="shared" si="14"/>
        <v>-3.5827985244327509E-2</v>
      </c>
      <c r="G231" s="22">
        <f t="shared" si="15"/>
        <v>-3.2013022246337508E-2</v>
      </c>
      <c r="H231" s="20">
        <f>MAX($B$4:B231)</f>
        <v>124752.53</v>
      </c>
      <c r="I231" s="18">
        <f t="shared" si="12"/>
        <v>0.5778341500382973</v>
      </c>
      <c r="J231" s="19">
        <f>MAX($C$4:C231)</f>
        <v>713.44</v>
      </c>
      <c r="K231" s="18">
        <f>(J231/C231)-1</f>
        <v>0.86960167714884706</v>
      </c>
      <c r="L231">
        <f>MAX($D$4:D231)</f>
        <v>234.86</v>
      </c>
      <c r="M231" s="18">
        <f>(L231/D231)-1</f>
        <v>1.6329596412556056</v>
      </c>
    </row>
    <row r="232" spans="1:13" ht="15.5" x14ac:dyDescent="0.35">
      <c r="A232" s="54">
        <v>46158</v>
      </c>
      <c r="B232" s="21">
        <v>78131.429999999993</v>
      </c>
      <c r="C232" s="15">
        <v>388.56</v>
      </c>
      <c r="D232" s="15">
        <v>86.54</v>
      </c>
      <c r="E232" s="22">
        <f t="shared" si="13"/>
        <v>-1.1816125530065613E-2</v>
      </c>
      <c r="F232" s="22">
        <f t="shared" si="14"/>
        <v>1.8238993710691709E-2</v>
      </c>
      <c r="G232" s="22">
        <f t="shared" si="15"/>
        <v>-2.9820627802690569E-2</v>
      </c>
      <c r="H232" s="20">
        <f>MAX($B$4:B232)</f>
        <v>124752.53</v>
      </c>
      <c r="I232" s="18">
        <f t="shared" si="12"/>
        <v>0.59670096912343729</v>
      </c>
      <c r="J232" s="19">
        <f>MAX($C$4:C232)</f>
        <v>713.44</v>
      </c>
      <c r="K232" s="18">
        <f>(J232/C232)-1</f>
        <v>0.8361128268478486</v>
      </c>
      <c r="L232">
        <f>MAX($D$4:D232)</f>
        <v>234.86</v>
      </c>
      <c r="M232" s="18">
        <f>(L232/D232)-1</f>
        <v>1.7138895308527848</v>
      </c>
    </row>
    <row r="233" spans="1:13" ht="15.5" x14ac:dyDescent="0.35">
      <c r="A233" s="54">
        <v>46159</v>
      </c>
      <c r="B233" s="21">
        <v>77429.36</v>
      </c>
      <c r="C233" s="15">
        <v>389.1</v>
      </c>
      <c r="D233" s="15">
        <v>85.17</v>
      </c>
      <c r="E233" s="22">
        <f t="shared" si="13"/>
        <v>-8.9857564363021725E-3</v>
      </c>
      <c r="F233" s="22">
        <f t="shared" si="14"/>
        <v>1.3897467572576705E-3</v>
      </c>
      <c r="G233" s="22">
        <f t="shared" si="15"/>
        <v>-1.583082967413918E-2</v>
      </c>
      <c r="H233" s="20">
        <f>MAX($B$4:B233)</f>
        <v>124752.53</v>
      </c>
      <c r="I233" s="18">
        <f t="shared" si="12"/>
        <v>0.61117862784866106</v>
      </c>
      <c r="J233" s="19">
        <f>MAX($C$4:C233)</f>
        <v>713.44</v>
      </c>
      <c r="K233" s="18">
        <f>(J233/C233)-1</f>
        <v>0.83356463634027245</v>
      </c>
      <c r="L233">
        <f>MAX($D$4:D233)</f>
        <v>234.86</v>
      </c>
      <c r="M233" s="18">
        <f>(L233/D233)-1</f>
        <v>1.7575437360572974</v>
      </c>
    </row>
    <row r="234" spans="1:13" ht="15.5" x14ac:dyDescent="0.35">
      <c r="A234" s="54">
        <v>46160</v>
      </c>
      <c r="B234" s="21">
        <v>76954.179999999993</v>
      </c>
      <c r="C234" s="15">
        <v>383.4</v>
      </c>
      <c r="D234" s="15">
        <v>85.3</v>
      </c>
      <c r="E234" s="22">
        <f t="shared" si="13"/>
        <v>-6.1369485683467895E-3</v>
      </c>
      <c r="F234" s="22">
        <f t="shared" si="14"/>
        <v>-1.4649190439475879E-2</v>
      </c>
      <c r="G234" s="22">
        <f t="shared" si="15"/>
        <v>1.5263590466125798E-3</v>
      </c>
      <c r="H234" s="20">
        <f>MAX($B$4:B234)</f>
        <v>124752.53</v>
      </c>
      <c r="I234" s="18">
        <f t="shared" si="12"/>
        <v>0.62112740334573124</v>
      </c>
      <c r="J234" s="19">
        <f>MAX($C$4:C234)</f>
        <v>713.44</v>
      </c>
      <c r="K234" s="18">
        <f>(J234/C234)-1</f>
        <v>0.86082420448617647</v>
      </c>
      <c r="L234">
        <f>MAX($D$4:D234)</f>
        <v>234.86</v>
      </c>
      <c r="M234" s="18">
        <f>(L234/D234)-1</f>
        <v>1.753341148886284</v>
      </c>
    </row>
    <row r="235" spans="1:13" ht="15.5" x14ac:dyDescent="0.35">
      <c r="A235" s="54">
        <v>46161</v>
      </c>
      <c r="B235" s="21">
        <v>76750.899999999994</v>
      </c>
      <c r="C235" s="15">
        <v>398.91</v>
      </c>
      <c r="D235" s="15">
        <v>84.21</v>
      </c>
      <c r="E235" s="22">
        <f t="shared" si="13"/>
        <v>-2.6415719068151322E-3</v>
      </c>
      <c r="F235" s="22">
        <f t="shared" si="14"/>
        <v>4.0453834115806053E-2</v>
      </c>
      <c r="G235" s="22">
        <f t="shared" si="15"/>
        <v>-1.2778429073857067E-2</v>
      </c>
      <c r="H235" s="20">
        <f>MAX($B$4:B235)</f>
        <v>124752.53</v>
      </c>
      <c r="I235" s="18">
        <f t="shared" si="12"/>
        <v>0.62542106998093838</v>
      </c>
      <c r="J235" s="19">
        <f>MAX($C$4:C235)</f>
        <v>713.44</v>
      </c>
      <c r="K235" s="18">
        <f>(J235/C235)-1</f>
        <v>0.78847359053420574</v>
      </c>
      <c r="L235">
        <f>MAX($D$4:D235)</f>
        <v>234.86</v>
      </c>
      <c r="M235" s="18">
        <f>(L235/D235)-1</f>
        <v>1.7889799311245698</v>
      </c>
    </row>
    <row r="236" spans="1:13" ht="15.5" x14ac:dyDescent="0.35">
      <c r="A236" s="54">
        <v>46162</v>
      </c>
      <c r="B236" s="21">
        <v>77457.77</v>
      </c>
      <c r="C236" s="15">
        <v>404.46</v>
      </c>
      <c r="D236" s="15">
        <v>86.04</v>
      </c>
      <c r="E236" s="22">
        <f t="shared" si="13"/>
        <v>9.2099245741745772E-3</v>
      </c>
      <c r="F236" s="22">
        <f t="shared" si="14"/>
        <v>1.3912912687072065E-2</v>
      </c>
      <c r="G236" s="22">
        <f t="shared" si="15"/>
        <v>2.1731385821161631E-2</v>
      </c>
      <c r="H236" s="20">
        <f>MAX($B$4:B236)</f>
        <v>124752.53</v>
      </c>
      <c r="I236" s="18">
        <f t="shared" si="12"/>
        <v>0.61058767893782617</v>
      </c>
      <c r="J236" s="19">
        <f>MAX($C$4:C236)</f>
        <v>713.44</v>
      </c>
      <c r="K236" s="18">
        <f>(J236/C236)-1</f>
        <v>0.76393215645552126</v>
      </c>
      <c r="L236">
        <f>MAX($D$4:D236)</f>
        <v>234.86</v>
      </c>
      <c r="M236" s="18">
        <f>(L236/D236)-1</f>
        <v>1.7296606229660623</v>
      </c>
    </row>
    <row r="237" spans="1:13" ht="15.5" x14ac:dyDescent="0.35">
      <c r="A237" s="54">
        <v>46163</v>
      </c>
      <c r="B237" s="21">
        <v>77539.17</v>
      </c>
      <c r="C237" s="15">
        <v>391.93</v>
      </c>
      <c r="D237" s="15">
        <v>87.16</v>
      </c>
      <c r="E237" s="22">
        <f t="shared" si="13"/>
        <v>1.0508952168386543E-3</v>
      </c>
      <c r="F237" s="22">
        <f t="shared" si="14"/>
        <v>-3.0979577708549644E-2</v>
      </c>
      <c r="G237" s="22">
        <f t="shared" si="15"/>
        <v>1.3017201301720016E-2</v>
      </c>
      <c r="H237" s="20">
        <f>MAX($B$4:B237)</f>
        <v>124752.53</v>
      </c>
      <c r="I237" s="18">
        <f t="shared" si="12"/>
        <v>0.60889689688450366</v>
      </c>
      <c r="J237" s="19">
        <f>MAX($C$4:C237)</f>
        <v>713.44</v>
      </c>
      <c r="K237" s="18">
        <f>(J237/C237)-1</f>
        <v>0.82032505804607969</v>
      </c>
      <c r="L237">
        <f>MAX($D$4:D237)</f>
        <v>234.86</v>
      </c>
      <c r="M237" s="18">
        <f>(L237/D237)-1</f>
        <v>1.6945846718678297</v>
      </c>
    </row>
    <row r="238" spans="1:13" ht="15.5" x14ac:dyDescent="0.35">
      <c r="A238" s="54">
        <v>46164</v>
      </c>
      <c r="B238" s="21">
        <v>75488.240000000005</v>
      </c>
      <c r="C238" s="15">
        <v>381.19</v>
      </c>
      <c r="D238" s="15">
        <v>84.31</v>
      </c>
      <c r="E238" s="22">
        <f t="shared" si="13"/>
        <v>-2.6450244437746684E-2</v>
      </c>
      <c r="F238" s="22">
        <f t="shared" si="14"/>
        <v>-2.7402852550200363E-2</v>
      </c>
      <c r="G238" s="22">
        <f t="shared" si="15"/>
        <v>-3.2698485543827371E-2</v>
      </c>
      <c r="H238" s="20">
        <f>MAX($B$4:B238)</f>
        <v>124752.53</v>
      </c>
      <c r="I238" s="18">
        <f t="shared" si="12"/>
        <v>0.65260880370240448</v>
      </c>
      <c r="J238" s="19">
        <f>MAX($C$4:C238)</f>
        <v>713.44</v>
      </c>
      <c r="K238" s="18">
        <f>(J238/C238)-1</f>
        <v>0.87161258165219468</v>
      </c>
      <c r="L238">
        <f>MAX($D$4:D238)</f>
        <v>234.86</v>
      </c>
      <c r="M238" s="18">
        <f>(L238/D238)-1</f>
        <v>1.7856719250385482</v>
      </c>
    </row>
    <row r="239" spans="1:13" ht="15.5" x14ac:dyDescent="0.35">
      <c r="A239" s="54">
        <v>46165</v>
      </c>
      <c r="B239" s="21">
        <v>76673.37</v>
      </c>
      <c r="C239" s="15">
        <v>386.86</v>
      </c>
      <c r="D239" s="15">
        <v>85.66</v>
      </c>
      <c r="E239" s="22">
        <f t="shared" si="13"/>
        <v>1.5699531476690787E-2</v>
      </c>
      <c r="F239" s="22">
        <f t="shared" si="14"/>
        <v>1.4874472048060028E-2</v>
      </c>
      <c r="G239" s="22">
        <f t="shared" si="15"/>
        <v>1.6012335428774671E-2</v>
      </c>
      <c r="H239" s="20">
        <f>MAX($B$4:B239)</f>
        <v>124752.53</v>
      </c>
      <c r="I239" s="18">
        <f t="shared" si="12"/>
        <v>0.62706465099942799</v>
      </c>
      <c r="J239" s="19">
        <f>MAX($C$4:C239)</f>
        <v>713.44</v>
      </c>
      <c r="K239" s="18">
        <f>(J239/C239)-1</f>
        <v>0.84418135759706359</v>
      </c>
      <c r="L239">
        <f>MAX($D$4:D239)</f>
        <v>234.86</v>
      </c>
      <c r="M239" s="18">
        <f>(L239/D239)-1</f>
        <v>1.7417697875321041</v>
      </c>
    </row>
    <row r="240" spans="1:13" ht="15.5" x14ac:dyDescent="0.35">
      <c r="A240" s="54">
        <v>46166</v>
      </c>
      <c r="B240" s="21">
        <v>76981.13</v>
      </c>
      <c r="C240" s="15">
        <v>392.71</v>
      </c>
      <c r="D240" s="15">
        <v>85.25</v>
      </c>
      <c r="E240" s="22">
        <f t="shared" si="13"/>
        <v>4.0139099142246781E-3</v>
      </c>
      <c r="F240" s="22">
        <f t="shared" si="14"/>
        <v>1.5121749470092372E-2</v>
      </c>
      <c r="G240" s="22">
        <f t="shared" si="15"/>
        <v>-4.7863646976418206E-3</v>
      </c>
      <c r="H240" s="20">
        <f>MAX($B$4:B240)</f>
        <v>124752.53</v>
      </c>
      <c r="I240" s="18">
        <f t="shared" si="12"/>
        <v>0.6205598696719572</v>
      </c>
      <c r="J240" s="19">
        <f>MAX($C$4:C240)</f>
        <v>713.44</v>
      </c>
      <c r="K240" s="18">
        <f>(J240/C240)-1</f>
        <v>0.8167095312062338</v>
      </c>
      <c r="L240">
        <f>MAX($D$4:D240)</f>
        <v>234.86</v>
      </c>
      <c r="M240" s="18">
        <f>(L240/D240)-1</f>
        <v>1.7549560117302057</v>
      </c>
    </row>
    <row r="241" spans="1:13" ht="15.5" x14ac:dyDescent="0.35">
      <c r="A241" s="54">
        <v>46167</v>
      </c>
      <c r="B241" s="21">
        <v>77279.929999999993</v>
      </c>
      <c r="C241" s="15">
        <v>385.98</v>
      </c>
      <c r="D241" s="15">
        <v>85.01</v>
      </c>
      <c r="E241" s="22">
        <f t="shared" si="13"/>
        <v>3.8814706928826936E-3</v>
      </c>
      <c r="F241" s="22">
        <f t="shared" si="14"/>
        <v>-1.7137327799139235E-2</v>
      </c>
      <c r="G241" s="22">
        <f t="shared" si="15"/>
        <v>-2.8152492668621631E-3</v>
      </c>
      <c r="H241" s="20">
        <f>MAX($B$4:B241)</f>
        <v>124752.53</v>
      </c>
      <c r="I241" s="18">
        <f t="shared" si="12"/>
        <v>0.61429403468662569</v>
      </c>
      <c r="J241" s="19">
        <f>MAX($C$4:C241)</f>
        <v>713.44</v>
      </c>
      <c r="K241" s="18">
        <f>(J241/C241)-1</f>
        <v>0.84838592673195512</v>
      </c>
      <c r="L241">
        <f>MAX($D$4:D241)</f>
        <v>234.86</v>
      </c>
      <c r="M241" s="18">
        <f>(L241/D241)-1</f>
        <v>1.7627337960239973</v>
      </c>
    </row>
    <row r="242" spans="1:13" ht="15.5" x14ac:dyDescent="0.35">
      <c r="A242" s="54">
        <v>46168</v>
      </c>
      <c r="B242" s="21">
        <v>75825.73</v>
      </c>
      <c r="C242" s="15">
        <v>380.03</v>
      </c>
      <c r="D242" s="15">
        <v>83.59</v>
      </c>
      <c r="E242" s="22">
        <f t="shared" si="13"/>
        <v>-1.8817304829339188E-2</v>
      </c>
      <c r="F242" s="22">
        <f t="shared" si="14"/>
        <v>-1.5415306492564507E-2</v>
      </c>
      <c r="G242" s="22">
        <f t="shared" si="15"/>
        <v>-1.6703917186213446E-2</v>
      </c>
      <c r="H242" s="20">
        <f>MAX($B$4:B242)</f>
        <v>124752.53</v>
      </c>
      <c r="I242" s="18">
        <f t="shared" si="12"/>
        <v>0.6452532669319504</v>
      </c>
      <c r="J242" s="19">
        <f>MAX($C$4:C242)</f>
        <v>713.44</v>
      </c>
      <c r="K242" s="18">
        <f>(J242/C242)-1</f>
        <v>0.87732547430466035</v>
      </c>
      <c r="L242">
        <f>MAX($D$4:D242)</f>
        <v>234.86</v>
      </c>
      <c r="M242" s="18">
        <f>(L242/D242)-1</f>
        <v>1.8096662280177056</v>
      </c>
    </row>
    <row r="243" spans="1:13" ht="15.5" x14ac:dyDescent="0.35">
      <c r="A243" s="54">
        <v>46169</v>
      </c>
      <c r="B243" s="21">
        <v>74344.7</v>
      </c>
      <c r="C243" s="15">
        <v>392.92</v>
      </c>
      <c r="D243" s="15">
        <v>82.37</v>
      </c>
      <c r="E243" s="22">
        <f t="shared" si="13"/>
        <v>-1.9532024287797767E-2</v>
      </c>
      <c r="F243" s="22">
        <f t="shared" si="14"/>
        <v>3.3918374865142376E-2</v>
      </c>
      <c r="G243" s="22">
        <f t="shared" si="15"/>
        <v>-1.4595047254456261E-2</v>
      </c>
      <c r="H243" s="20">
        <f>MAX($B$4:B243)</f>
        <v>124752.53</v>
      </c>
      <c r="I243" s="18">
        <f t="shared" si="12"/>
        <v>0.67802856155179869</v>
      </c>
      <c r="J243" s="19">
        <f>MAX($C$4:C243)</f>
        <v>713.44</v>
      </c>
      <c r="K243" s="18">
        <f>(J243/C243)-1</f>
        <v>0.81573857273745287</v>
      </c>
      <c r="L243">
        <f>MAX($D$4:D243)</f>
        <v>234.86</v>
      </c>
      <c r="M243" s="18">
        <f>(L243/D243)-1</f>
        <v>1.8512808061187327</v>
      </c>
    </row>
    <row r="244" spans="1:13" ht="15.5" x14ac:dyDescent="0.35">
      <c r="A244" s="54">
        <v>46170</v>
      </c>
      <c r="B244" s="21">
        <v>73536.56</v>
      </c>
      <c r="C244" s="15">
        <v>353.83</v>
      </c>
      <c r="D244" s="15">
        <v>81.99</v>
      </c>
      <c r="E244" s="22">
        <f t="shared" si="13"/>
        <v>-1.0870176354198735E-2</v>
      </c>
      <c r="F244" s="22">
        <f t="shared" si="14"/>
        <v>-9.9485900437748187E-2</v>
      </c>
      <c r="G244" s="22">
        <f t="shared" si="15"/>
        <v>-4.6133300959088075E-3</v>
      </c>
      <c r="H244" s="20">
        <f>MAX($B$4:B244)</f>
        <v>124752.53</v>
      </c>
      <c r="I244" s="18">
        <f t="shared" si="12"/>
        <v>0.69646948402264131</v>
      </c>
      <c r="J244" s="19">
        <f>MAX($C$4:C244)</f>
        <v>713.44</v>
      </c>
      <c r="K244" s="18">
        <f>(J244/C244)-1</f>
        <v>1.0163355283610778</v>
      </c>
      <c r="L244">
        <f>MAX($D$4:D244)</f>
        <v>234.86</v>
      </c>
      <c r="M244" s="18">
        <f>(L244/D244)-1</f>
        <v>1.8644956702036839</v>
      </c>
    </row>
    <row r="245" spans="1:13" ht="15.5" x14ac:dyDescent="0.35">
      <c r="A245" s="54">
        <v>46171</v>
      </c>
      <c r="B245" s="21">
        <v>73372.53</v>
      </c>
      <c r="C245" s="15">
        <v>397.17</v>
      </c>
      <c r="D245" s="15">
        <v>81.93</v>
      </c>
      <c r="E245" s="22">
        <f t="shared" si="13"/>
        <v>-2.2305911508506693E-3</v>
      </c>
      <c r="F245" s="22">
        <f t="shared" si="14"/>
        <v>0.12248820054828591</v>
      </c>
      <c r="G245" s="22">
        <f t="shared" si="15"/>
        <v>-7.3179656055599729E-4</v>
      </c>
      <c r="H245" s="20">
        <f>MAX($B$4:B245)</f>
        <v>124752.53</v>
      </c>
      <c r="I245" s="18">
        <f t="shared" si="12"/>
        <v>0.70026207355804693</v>
      </c>
      <c r="J245" s="19">
        <f>MAX($C$4:C245)</f>
        <v>713.44</v>
      </c>
      <c r="K245" s="18">
        <f>(J245/C245)-1</f>
        <v>0.79630888536394995</v>
      </c>
      <c r="L245">
        <f>MAX($D$4:D245)</f>
        <v>234.86</v>
      </c>
      <c r="M245" s="18">
        <f>(L245/D245)-1</f>
        <v>1.8665934334187719</v>
      </c>
    </row>
    <row r="246" spans="1:13" ht="15.5" x14ac:dyDescent="0.35">
      <c r="A246" s="54">
        <v>46172</v>
      </c>
      <c r="B246" s="21">
        <v>73754.84</v>
      </c>
      <c r="C246" s="15">
        <v>370.43</v>
      </c>
      <c r="D246" s="15">
        <v>82.55</v>
      </c>
      <c r="E246" s="22">
        <f t="shared" si="13"/>
        <v>5.2105331518483844E-3</v>
      </c>
      <c r="F246" s="22">
        <f t="shared" si="14"/>
        <v>-6.7326333811717931E-2</v>
      </c>
      <c r="G246" s="22">
        <f t="shared" si="15"/>
        <v>7.5674356157693357E-3</v>
      </c>
      <c r="H246" s="20">
        <f>MAX($B$4:B246)</f>
        <v>124752.53</v>
      </c>
      <c r="I246" s="18">
        <f t="shared" si="12"/>
        <v>0.69144872390747514</v>
      </c>
      <c r="J246" s="19">
        <f>MAX($C$4:C246)</f>
        <v>713.44</v>
      </c>
      <c r="K246" s="18">
        <f>(J246/C246)-1</f>
        <v>0.92597791755527381</v>
      </c>
      <c r="L246">
        <f>MAX($D$4:D246)</f>
        <v>234.86</v>
      </c>
      <c r="M246" s="18">
        <f>(L246/D246)-1</f>
        <v>1.8450635978195038</v>
      </c>
    </row>
    <row r="247" spans="1:13" ht="15.5" x14ac:dyDescent="0.35">
      <c r="A247" s="54">
        <v>46173</v>
      </c>
      <c r="B247" s="21">
        <v>73579.69</v>
      </c>
      <c r="C247" s="15">
        <v>367.19</v>
      </c>
      <c r="D247" s="15">
        <v>82.3</v>
      </c>
      <c r="E247" s="22">
        <f t="shared" si="13"/>
        <v>-2.3747594056199306E-3</v>
      </c>
      <c r="F247" s="22">
        <f t="shared" si="14"/>
        <v>-8.7465917987203934E-3</v>
      </c>
      <c r="G247" s="22">
        <f t="shared" si="15"/>
        <v>-3.0284675953967666E-3</v>
      </c>
      <c r="H247" s="20">
        <f>MAX($B$4:B247)</f>
        <v>124752.53</v>
      </c>
      <c r="I247" s="18">
        <f t="shared" si="12"/>
        <v>0.69547506927523073</v>
      </c>
      <c r="J247" s="19">
        <f>MAX($C$4:C247)</f>
        <v>713.44</v>
      </c>
      <c r="K247" s="18">
        <f>(J247/C247)-1</f>
        <v>0.94297230316729785</v>
      </c>
      <c r="L247">
        <f>MAX($D$4:D247)</f>
        <v>234.86</v>
      </c>
      <c r="M247" s="18">
        <f>(L247/D247)-1</f>
        <v>1.8537059538274607</v>
      </c>
    </row>
    <row r="248" spans="1:13" ht="15.5" x14ac:dyDescent="0.35">
      <c r="A248" s="54">
        <v>46174</v>
      </c>
      <c r="B248" s="21">
        <v>71319.77</v>
      </c>
      <c r="C248" s="15">
        <v>343.76</v>
      </c>
      <c r="D248" s="15">
        <v>81.09</v>
      </c>
      <c r="E248" s="22">
        <f t="shared" si="13"/>
        <v>-3.0713910319546067E-2</v>
      </c>
      <c r="F248" s="22">
        <f t="shared" si="14"/>
        <v>-6.380892725836762E-2</v>
      </c>
      <c r="G248" s="22">
        <f t="shared" si="15"/>
        <v>-1.4702308626974414E-2</v>
      </c>
      <c r="H248" s="20">
        <f>MAX($B$4:B248)</f>
        <v>124752.53</v>
      </c>
      <c r="I248" s="18">
        <f t="shared" si="12"/>
        <v>0.74919983617445762</v>
      </c>
      <c r="J248" s="19">
        <f>MAX($C$4:C248)</f>
        <v>713.44</v>
      </c>
      <c r="K248" s="18">
        <f>(J248/C248)-1</f>
        <v>1.0754014428671166</v>
      </c>
      <c r="L248">
        <f>MAX($D$4:D248)</f>
        <v>234.86</v>
      </c>
      <c r="M248" s="18">
        <f>(L248/D248)-1</f>
        <v>1.8962880749784192</v>
      </c>
    </row>
    <row r="249" spans="1:13" ht="15.5" x14ac:dyDescent="0.35">
      <c r="A249" s="54">
        <v>46175</v>
      </c>
      <c r="B249" s="21">
        <v>66703.66</v>
      </c>
      <c r="C249" s="15">
        <v>325.64999999999998</v>
      </c>
      <c r="D249" s="15">
        <v>74.14</v>
      </c>
      <c r="E249" s="22">
        <f t="shared" si="13"/>
        <v>-6.4724129087909255E-2</v>
      </c>
      <c r="F249" s="22">
        <f t="shared" si="14"/>
        <v>-5.2682103793344259E-2</v>
      </c>
      <c r="G249" s="22">
        <f t="shared" si="15"/>
        <v>-8.5707238870391E-2</v>
      </c>
      <c r="H249" s="20">
        <f>MAX($B$4:B249)</f>
        <v>124752.53</v>
      </c>
      <c r="I249" s="18">
        <f t="shared" si="12"/>
        <v>0.8702501481927678</v>
      </c>
      <c r="J249" s="19">
        <f>MAX($C$4:C249)</f>
        <v>713.44</v>
      </c>
      <c r="K249" s="18">
        <f>(J249/C249)-1</f>
        <v>1.1908183632734533</v>
      </c>
      <c r="L249">
        <f>MAX($D$4:D249)</f>
        <v>234.86</v>
      </c>
      <c r="M249" s="18">
        <f>(L249/D249)-1</f>
        <v>2.167790666306987</v>
      </c>
    </row>
    <row r="250" spans="1:13" ht="15.5" x14ac:dyDescent="0.35">
      <c r="A250" s="54">
        <v>46176</v>
      </c>
      <c r="B250" s="21">
        <v>64014.37</v>
      </c>
      <c r="C250" s="15">
        <v>362.39</v>
      </c>
      <c r="D250" s="15">
        <v>71.61</v>
      </c>
      <c r="E250" s="22">
        <f t="shared" si="13"/>
        <v>-4.0316978108847379E-2</v>
      </c>
      <c r="F250" s="22">
        <f t="shared" si="14"/>
        <v>0.11282051282051286</v>
      </c>
      <c r="G250" s="22">
        <f t="shared" si="15"/>
        <v>-3.4124629080118707E-2</v>
      </c>
      <c r="H250" s="20">
        <f>MAX($B$4:B250)</f>
        <v>124752.53</v>
      </c>
      <c r="I250" s="18">
        <f t="shared" si="12"/>
        <v>0.94882071009993529</v>
      </c>
      <c r="J250" s="19">
        <f>MAX($C$4:C250)</f>
        <v>713.44</v>
      </c>
      <c r="K250" s="18">
        <f>(J250/C250)-1</f>
        <v>0.96870774579872543</v>
      </c>
      <c r="L250">
        <f>MAX($D$4:D250)</f>
        <v>234.86</v>
      </c>
      <c r="M250" s="18">
        <f>(L250/D250)-1</f>
        <v>2.2797095377740542</v>
      </c>
    </row>
    <row r="251" spans="1:13" ht="15.5" x14ac:dyDescent="0.35">
      <c r="A251" s="54">
        <v>46177</v>
      </c>
      <c r="B251" s="21">
        <v>63801.57</v>
      </c>
      <c r="C251" s="15">
        <v>372.61</v>
      </c>
      <c r="D251" s="15">
        <v>68.72</v>
      </c>
      <c r="E251" s="22">
        <f t="shared" si="13"/>
        <v>-3.3242536011836021E-3</v>
      </c>
      <c r="F251" s="22">
        <f t="shared" si="14"/>
        <v>2.8201661193741678E-2</v>
      </c>
      <c r="G251" s="22">
        <f t="shared" si="15"/>
        <v>-4.0357491970395176E-2</v>
      </c>
      <c r="H251" s="20">
        <f>MAX($B$4:B251)</f>
        <v>124752.53</v>
      </c>
      <c r="I251" s="18">
        <f t="shared" si="12"/>
        <v>0.95532069195162439</v>
      </c>
      <c r="J251" s="19">
        <f>MAX($C$4:C251)</f>
        <v>713.44</v>
      </c>
      <c r="K251" s="18">
        <f>(J251/C251)-1</f>
        <v>0.91470975014089806</v>
      </c>
      <c r="L251">
        <f>MAX($D$4:D251)</f>
        <v>234.86</v>
      </c>
      <c r="M251" s="18">
        <f>(L251/D251)-1</f>
        <v>2.4176367869615834</v>
      </c>
    </row>
    <row r="252" spans="1:13" ht="15.5" x14ac:dyDescent="0.35">
      <c r="A252" s="54">
        <v>46178</v>
      </c>
      <c r="B252" s="21">
        <v>60922.67</v>
      </c>
      <c r="C252" s="15">
        <v>307.22000000000003</v>
      </c>
      <c r="D252" s="15">
        <v>63.49</v>
      </c>
      <c r="E252" s="22">
        <f t="shared" si="13"/>
        <v>-4.5122714064873337E-2</v>
      </c>
      <c r="F252" s="22">
        <f t="shared" si="14"/>
        <v>-0.17549180107887596</v>
      </c>
      <c r="G252" s="22">
        <f t="shared" si="15"/>
        <v>-7.6105937136204838E-2</v>
      </c>
      <c r="H252" s="20">
        <f>MAX($B$4:B252)</f>
        <v>124752.53</v>
      </c>
      <c r="I252" s="18">
        <f t="shared" si="12"/>
        <v>1.0477193465092713</v>
      </c>
      <c r="J252" s="19">
        <f>MAX($C$4:C252)</f>
        <v>713.44</v>
      </c>
      <c r="K252" s="18">
        <f>(J252/C252)-1</f>
        <v>1.3222446455308901</v>
      </c>
      <c r="L252">
        <f>MAX($D$4:D252)</f>
        <v>234.86</v>
      </c>
      <c r="M252" s="18">
        <f>(L252/D252)-1</f>
        <v>2.6991652228697434</v>
      </c>
    </row>
    <row r="253" spans="1:13" ht="15.5" x14ac:dyDescent="0.35">
      <c r="A253" s="54">
        <v>46179</v>
      </c>
      <c r="B253" s="21">
        <v>60867.41</v>
      </c>
      <c r="C253" s="15">
        <v>295.76</v>
      </c>
      <c r="D253" s="15">
        <v>62.19</v>
      </c>
      <c r="E253" s="22">
        <f t="shared" si="13"/>
        <v>-9.0705151300807252E-4</v>
      </c>
      <c r="F253" s="22">
        <f t="shared" si="14"/>
        <v>-3.7302258967515267E-2</v>
      </c>
      <c r="G253" s="22">
        <f t="shared" si="15"/>
        <v>-2.047566545912749E-2</v>
      </c>
      <c r="H253" s="20">
        <f>MAX($B$4:B253)</f>
        <v>124752.53</v>
      </c>
      <c r="I253" s="18">
        <f t="shared" si="12"/>
        <v>1.0495784197159037</v>
      </c>
      <c r="J253" s="19">
        <f>MAX($C$4:C253)</f>
        <v>713.44</v>
      </c>
      <c r="K253" s="18">
        <f>(J253/C253)-1</f>
        <v>1.4122261292940226</v>
      </c>
      <c r="L253">
        <f>MAX($D$4:D253)</f>
        <v>234.86</v>
      </c>
      <c r="M253" s="18">
        <f>(L253/D253)-1</f>
        <v>2.7764913973307608</v>
      </c>
    </row>
    <row r="254" spans="1:13" ht="15.5" x14ac:dyDescent="0.35">
      <c r="A254" s="54">
        <v>46180</v>
      </c>
      <c r="B254" s="21">
        <v>63239.519999999997</v>
      </c>
      <c r="C254" s="15">
        <v>303.72000000000003</v>
      </c>
      <c r="D254" s="15">
        <v>66.31</v>
      </c>
      <c r="E254" s="22">
        <f t="shared" si="13"/>
        <v>3.89717584500473E-2</v>
      </c>
      <c r="F254" s="22">
        <f t="shared" si="14"/>
        <v>2.6913713822017904E-2</v>
      </c>
      <c r="G254" s="22">
        <f t="shared" si="15"/>
        <v>6.6248593021386082E-2</v>
      </c>
      <c r="H254" s="20">
        <f>MAX($B$4:B254)</f>
        <v>124752.53</v>
      </c>
      <c r="I254" s="18">
        <f t="shared" si="12"/>
        <v>0.97269887563978985</v>
      </c>
      <c r="J254" s="19">
        <f>MAX($C$4:C254)</f>
        <v>713.44</v>
      </c>
      <c r="K254" s="18">
        <f>(J254/C254)-1</f>
        <v>1.3490056631107601</v>
      </c>
      <c r="L254">
        <f>MAX($D$4:D254)</f>
        <v>234.86</v>
      </c>
      <c r="M254" s="18">
        <f>(L254/D254)-1</f>
        <v>2.5418488915698991</v>
      </c>
    </row>
    <row r="255" spans="1:13" ht="15.5" x14ac:dyDescent="0.35">
      <c r="A255" s="54">
        <v>46181</v>
      </c>
      <c r="B255" s="21">
        <v>63090.59</v>
      </c>
      <c r="C255" s="15">
        <v>314.51</v>
      </c>
      <c r="D255" s="15">
        <v>66.790000000000006</v>
      </c>
      <c r="E255" s="22">
        <f t="shared" si="13"/>
        <v>-2.3550147123191367E-3</v>
      </c>
      <c r="F255" s="22">
        <f t="shared" si="14"/>
        <v>3.5526142499670677E-2</v>
      </c>
      <c r="G255" s="22">
        <f t="shared" si="15"/>
        <v>7.2387271904690298E-3</v>
      </c>
      <c r="H255" s="20">
        <f>MAX($B$4:B255)</f>
        <v>124752.53</v>
      </c>
      <c r="I255" s="18">
        <f t="shared" si="12"/>
        <v>0.97735557711538301</v>
      </c>
      <c r="J255" s="19">
        <f>MAX($C$4:C255)</f>
        <v>713.44</v>
      </c>
      <c r="K255" s="18">
        <f>(J255/C255)-1</f>
        <v>1.2684175383930563</v>
      </c>
      <c r="L255">
        <f>MAX($D$4:D255)</f>
        <v>234.86</v>
      </c>
      <c r="M255" s="18">
        <f>(L255/D255)-1</f>
        <v>2.5163946698607575</v>
      </c>
    </row>
    <row r="256" spans="1:13" ht="15.5" x14ac:dyDescent="0.35">
      <c r="A256" s="54">
        <v>46182</v>
      </c>
      <c r="B256" s="21">
        <v>61643.78</v>
      </c>
      <c r="C256" s="15">
        <v>311.24</v>
      </c>
      <c r="D256" s="15">
        <v>64.959999999999994</v>
      </c>
      <c r="E256" s="22">
        <f t="shared" si="13"/>
        <v>-2.2932262957122362E-2</v>
      </c>
      <c r="F256" s="22">
        <f t="shared" si="14"/>
        <v>-1.0397125687577446E-2</v>
      </c>
      <c r="G256" s="22">
        <f t="shared" si="15"/>
        <v>-2.7399311274142968E-2</v>
      </c>
      <c r="H256" s="20">
        <f>MAX($B$4:B256)</f>
        <v>124752.53</v>
      </c>
      <c r="I256" s="18">
        <f t="shared" si="12"/>
        <v>1.0237650903302815</v>
      </c>
      <c r="J256" s="19">
        <f>MAX($C$4:C256)</f>
        <v>713.44</v>
      </c>
      <c r="K256" s="18">
        <f>(J256/C256)-1</f>
        <v>1.2922503534250098</v>
      </c>
      <c r="L256">
        <f>MAX($D$4:D256)</f>
        <v>234.86</v>
      </c>
      <c r="M256" s="18">
        <f>(L256/D256)-1</f>
        <v>2.6154556650246312</v>
      </c>
    </row>
    <row r="257" spans="1:13" ht="15.5" x14ac:dyDescent="0.35">
      <c r="A257" s="54">
        <v>46183</v>
      </c>
      <c r="B257" s="21">
        <v>61449.29</v>
      </c>
      <c r="C257" s="15">
        <v>334.72</v>
      </c>
      <c r="D257" s="15">
        <v>63.16</v>
      </c>
      <c r="E257" s="22">
        <f t="shared" si="13"/>
        <v>-3.1550628465677466E-3</v>
      </c>
      <c r="F257" s="22">
        <f t="shared" si="14"/>
        <v>7.5440174784732195E-2</v>
      </c>
      <c r="G257" s="22">
        <f t="shared" si="15"/>
        <v>-2.7709359605911255E-2</v>
      </c>
      <c r="H257" s="20">
        <f>MAX($B$4:B257)</f>
        <v>124752.53</v>
      </c>
      <c r="I257" s="18">
        <f t="shared" si="12"/>
        <v>1.0301704055490308</v>
      </c>
      <c r="J257" s="19">
        <f>MAX($C$4:C257)</f>
        <v>713.44</v>
      </c>
      <c r="K257" s="18">
        <f>(J257/C257)-1</f>
        <v>1.1314531548757172</v>
      </c>
      <c r="L257">
        <f>MAX($D$4:D257)</f>
        <v>234.86</v>
      </c>
      <c r="M257" s="18">
        <f>(L257/D257)-1</f>
        <v>2.7184927169094366</v>
      </c>
    </row>
    <row r="258" spans="1:13" ht="15.5" x14ac:dyDescent="0.35">
      <c r="A258" s="54">
        <v>46184</v>
      </c>
      <c r="B258" s="21">
        <v>63561.05</v>
      </c>
      <c r="C258" s="15">
        <v>388.35</v>
      </c>
      <c r="D258" s="15">
        <v>66.819999999999993</v>
      </c>
      <c r="E258" s="22">
        <f t="shared" si="13"/>
        <v>3.4365897474161189E-2</v>
      </c>
      <c r="F258" s="22">
        <f t="shared" si="14"/>
        <v>0.16022347036328877</v>
      </c>
      <c r="G258" s="22">
        <f t="shared" si="15"/>
        <v>5.7948068397720043E-2</v>
      </c>
      <c r="H258" s="20">
        <f>MAX($B$4:B258)</f>
        <v>124752.53</v>
      </c>
      <c r="I258" s="18">
        <f t="shared" si="12"/>
        <v>0.96271977885827864</v>
      </c>
      <c r="J258" s="19">
        <f>MAX($C$4:C258)</f>
        <v>713.44</v>
      </c>
      <c r="K258" s="18">
        <f>(J258/C258)-1</f>
        <v>0.8371057036178704</v>
      </c>
      <c r="L258">
        <f>MAX($D$4:D258)</f>
        <v>234.86</v>
      </c>
      <c r="M258" s="18">
        <f>(L258/D258)-1</f>
        <v>2.5148159233762351</v>
      </c>
    </row>
    <row r="259" spans="1:13" ht="15.5" x14ac:dyDescent="0.35">
      <c r="A259" s="54">
        <v>46185</v>
      </c>
      <c r="B259" s="21">
        <v>63543.199999999997</v>
      </c>
      <c r="C259" s="15">
        <v>353.22</v>
      </c>
      <c r="D259" s="15">
        <v>66.75</v>
      </c>
      <c r="E259" s="22">
        <f t="shared" si="13"/>
        <v>-2.8083236510423326E-4</v>
      </c>
      <c r="F259" s="22">
        <f t="shared" si="14"/>
        <v>-9.0459636925453779E-2</v>
      </c>
      <c r="G259" s="22">
        <f t="shared" si="15"/>
        <v>-1.0475905417538511E-3</v>
      </c>
      <c r="H259" s="20">
        <f>MAX($B$4:B259)</f>
        <v>124752.53</v>
      </c>
      <c r="I259" s="18">
        <f t="shared" si="12"/>
        <v>0.96327112893275757</v>
      </c>
      <c r="J259" s="19">
        <f>MAX($C$4:C259)</f>
        <v>713.44</v>
      </c>
      <c r="K259" s="18">
        <f>(J259/C259)-1</f>
        <v>1.0198176773682124</v>
      </c>
      <c r="L259">
        <f>MAX($D$4:D259)</f>
        <v>234.86</v>
      </c>
      <c r="M259" s="18">
        <f>(L259/D259)-1</f>
        <v>2.5185018726591761</v>
      </c>
    </row>
    <row r="260" spans="1:13" ht="15.5" x14ac:dyDescent="0.35">
      <c r="A260" s="54">
        <v>46186</v>
      </c>
      <c r="B260" s="21">
        <v>64421.33</v>
      </c>
      <c r="C260" s="15">
        <v>338.37</v>
      </c>
      <c r="D260" s="15">
        <v>68.87</v>
      </c>
      <c r="E260" s="22">
        <f t="shared" si="13"/>
        <v>1.3819417341273343E-2</v>
      </c>
      <c r="F260" s="22">
        <f t="shared" si="14"/>
        <v>-4.2041786988279317E-2</v>
      </c>
      <c r="G260" s="22">
        <f t="shared" si="15"/>
        <v>3.1760299625468225E-2</v>
      </c>
      <c r="H260" s="20">
        <f>MAX($B$4:B260)</f>
        <v>124752.53</v>
      </c>
      <c r="I260" s="18">
        <f t="shared" si="12"/>
        <v>0.93650969329568312</v>
      </c>
      <c r="J260" s="19">
        <f>MAX($C$4:C260)</f>
        <v>713.44</v>
      </c>
      <c r="K260" s="18">
        <f>(J260/C260)-1</f>
        <v>1.1084611519933802</v>
      </c>
      <c r="L260">
        <f>MAX($D$4:D260)</f>
        <v>234.86</v>
      </c>
      <c r="M260" s="18">
        <f>(L260/D260)-1</f>
        <v>2.4101931174676929</v>
      </c>
    </row>
    <row r="261" spans="1:13" ht="15.5" x14ac:dyDescent="0.35">
      <c r="A261" s="54">
        <v>46187</v>
      </c>
      <c r="B261" s="21">
        <v>65710.399999999994</v>
      </c>
      <c r="C261" s="15">
        <v>340.22</v>
      </c>
      <c r="D261" s="15">
        <v>71.17</v>
      </c>
      <c r="E261" s="22">
        <f t="shared" si="13"/>
        <v>2.0009987375299243E-2</v>
      </c>
      <c r="F261" s="22">
        <f t="shared" si="14"/>
        <v>5.4673877707835938E-3</v>
      </c>
      <c r="G261" s="22">
        <f t="shared" si="15"/>
        <v>3.3396253811528887E-2</v>
      </c>
      <c r="H261" s="20">
        <f>MAX($B$4:B261)</f>
        <v>124752.53</v>
      </c>
      <c r="I261" s="18">
        <f t="shared" ref="I261:I324" si="16">(H261/B261)-1</f>
        <v>0.89852032554968475</v>
      </c>
      <c r="J261" s="19">
        <f>MAX($C$4:C261)</f>
        <v>713.44</v>
      </c>
      <c r="K261" s="18">
        <f>(J261/C261)-1</f>
        <v>1.0969960613720535</v>
      </c>
      <c r="L261">
        <f>MAX($D$4:D261)</f>
        <v>234.86</v>
      </c>
      <c r="M261" s="18">
        <f>(L261/D261)-1</f>
        <v>2.2999859491358721</v>
      </c>
    </row>
    <row r="262" spans="1:13" ht="15.5" x14ac:dyDescent="0.35">
      <c r="A262" s="54">
        <v>46188</v>
      </c>
      <c r="B262" s="21">
        <v>66289.5</v>
      </c>
      <c r="C262" s="15">
        <v>348.5</v>
      </c>
      <c r="D262" s="15">
        <v>73.98</v>
      </c>
      <c r="E262" s="22">
        <f t="shared" ref="E262:E325" si="17">(B262/B261)-1</f>
        <v>8.8129124156908212E-3</v>
      </c>
      <c r="F262" s="22">
        <f t="shared" ref="F262:F325" si="18">(C262/C261)-1</f>
        <v>2.433719358062425E-2</v>
      </c>
      <c r="G262" s="22">
        <f t="shared" ref="G262:G325" si="19">(D262/D261)-1</f>
        <v>3.9482928200084366E-2</v>
      </c>
      <c r="H262" s="20">
        <f>MAX($B$4:B262)</f>
        <v>124752.53</v>
      </c>
      <c r="I262" s="18">
        <f t="shared" si="16"/>
        <v>0.88193499724692437</v>
      </c>
      <c r="J262" s="19">
        <f>MAX($C$4:C262)</f>
        <v>713.44</v>
      </c>
      <c r="K262" s="18">
        <f>(J262/C262)-1</f>
        <v>1.0471736011477764</v>
      </c>
      <c r="L262">
        <f>MAX($D$4:D262)</f>
        <v>234.86</v>
      </c>
      <c r="M262" s="18">
        <f>(L262/D262)-1</f>
        <v>2.1746417950797512</v>
      </c>
    </row>
    <row r="263" spans="1:13" ht="15.5" x14ac:dyDescent="0.35">
      <c r="A263" s="54">
        <v>46189</v>
      </c>
      <c r="B263" s="21">
        <v>65600.639999999999</v>
      </c>
      <c r="C263" s="15">
        <v>345.53</v>
      </c>
      <c r="D263" s="15">
        <v>73.41</v>
      </c>
      <c r="E263" s="22">
        <f t="shared" si="17"/>
        <v>-1.0391690991786051E-2</v>
      </c>
      <c r="F263" s="22">
        <f t="shared" si="18"/>
        <v>-8.5222381635582378E-3</v>
      </c>
      <c r="G263" s="22">
        <f t="shared" si="19"/>
        <v>-7.7047850770479709E-3</v>
      </c>
      <c r="H263" s="20">
        <f>MAX($B$4:B263)</f>
        <v>124752.53</v>
      </c>
      <c r="I263" s="18">
        <f t="shared" si="16"/>
        <v>0.90169684320152976</v>
      </c>
      <c r="J263" s="19">
        <f>MAX($C$4:C263)</f>
        <v>713.44</v>
      </c>
      <c r="K263" s="18">
        <f>(J263/C263)-1</f>
        <v>1.0647700633808936</v>
      </c>
      <c r="L263">
        <f>MAX($D$4:D263)</f>
        <v>234.86</v>
      </c>
      <c r="M263" s="18">
        <f>(L263/D263)-1</f>
        <v>2.1992916496390142</v>
      </c>
    </row>
    <row r="264" spans="1:13" ht="15.5" x14ac:dyDescent="0.35">
      <c r="A264" s="54">
        <v>46190</v>
      </c>
      <c r="B264" s="21">
        <v>64418.45</v>
      </c>
      <c r="C264" s="15">
        <v>336.68</v>
      </c>
      <c r="D264" s="15">
        <v>71.930000000000007</v>
      </c>
      <c r="E264" s="22">
        <f t="shared" si="17"/>
        <v>-1.8021013209627235E-2</v>
      </c>
      <c r="F264" s="22">
        <f t="shared" si="18"/>
        <v>-2.5612826672068878E-2</v>
      </c>
      <c r="G264" s="22">
        <f t="shared" si="19"/>
        <v>-2.0160741043454444E-2</v>
      </c>
      <c r="H264" s="20">
        <f>MAX($B$4:B264)</f>
        <v>124752.53</v>
      </c>
      <c r="I264" s="18">
        <f t="shared" si="16"/>
        <v>0.93659627016794111</v>
      </c>
      <c r="J264" s="19">
        <f>MAX($C$4:C264)</f>
        <v>713.44</v>
      </c>
      <c r="K264" s="18">
        <f>(J264/C264)-1</f>
        <v>1.1190447903053347</v>
      </c>
      <c r="L264">
        <f>MAX($D$4:D264)</f>
        <v>234.86</v>
      </c>
      <c r="M264" s="18">
        <f>(L264/D264)-1</f>
        <v>2.2651188655637422</v>
      </c>
    </row>
    <row r="265" spans="1:13" ht="15.5" x14ac:dyDescent="0.35">
      <c r="A265" s="54">
        <v>46191</v>
      </c>
      <c r="B265" s="21">
        <v>62896.47</v>
      </c>
      <c r="C265" s="15">
        <v>318.89999999999998</v>
      </c>
      <c r="D265" s="15">
        <v>69.63</v>
      </c>
      <c r="E265" s="22">
        <f t="shared" si="17"/>
        <v>-2.362646105269528E-2</v>
      </c>
      <c r="F265" s="22">
        <f t="shared" si="18"/>
        <v>-5.2809789711298682E-2</v>
      </c>
      <c r="G265" s="22">
        <f t="shared" si="19"/>
        <v>-3.1975531766995857E-2</v>
      </c>
      <c r="H265" s="20">
        <f>MAX($B$4:B265)</f>
        <v>124752.53</v>
      </c>
      <c r="I265" s="18">
        <f t="shared" si="16"/>
        <v>0.98345837214711729</v>
      </c>
      <c r="J265" s="19">
        <f>MAX($C$4:C265)</f>
        <v>713.44</v>
      </c>
      <c r="K265" s="18">
        <f>(J265/C265)-1</f>
        <v>1.2371903417999377</v>
      </c>
      <c r="L265">
        <f>MAX($D$4:D265)</f>
        <v>234.86</v>
      </c>
      <c r="M265" s="18">
        <f>(L265/D265)-1</f>
        <v>2.3729714203647858</v>
      </c>
    </row>
    <row r="266" spans="1:13" ht="15.5" x14ac:dyDescent="0.35">
      <c r="A266" s="54">
        <v>46192</v>
      </c>
      <c r="B266" s="21">
        <v>63540.84</v>
      </c>
      <c r="C266" s="15">
        <v>315.02</v>
      </c>
      <c r="D266" s="15">
        <v>69.72</v>
      </c>
      <c r="E266" s="22">
        <f t="shared" si="17"/>
        <v>1.0244931074828045E-2</v>
      </c>
      <c r="F266" s="22">
        <f t="shared" si="18"/>
        <v>-1.2166823455628695E-2</v>
      </c>
      <c r="G266" s="22">
        <f t="shared" si="19"/>
        <v>1.2925463162429818E-3</v>
      </c>
      <c r="H266" s="20">
        <f>MAX($B$4:B266)</f>
        <v>124752.53</v>
      </c>
      <c r="I266" s="18">
        <f t="shared" si="16"/>
        <v>0.9633440477022337</v>
      </c>
      <c r="J266" s="19">
        <f>MAX($C$4:C266)</f>
        <v>713.44</v>
      </c>
      <c r="K266" s="18">
        <f>(J266/C266)-1</f>
        <v>1.2647450955494892</v>
      </c>
      <c r="L266">
        <f>MAX($D$4:D266)</f>
        <v>234.86</v>
      </c>
      <c r="M266" s="18">
        <f>(L266/D266)-1</f>
        <v>2.3686173264486521</v>
      </c>
    </row>
    <row r="267" spans="1:13" ht="15.5" x14ac:dyDescent="0.35">
      <c r="A267" s="54">
        <v>46193</v>
      </c>
      <c r="B267" s="21">
        <v>64239.68</v>
      </c>
      <c r="C267" s="15">
        <v>320.58999999999997</v>
      </c>
      <c r="D267" s="15">
        <v>73.17</v>
      </c>
      <c r="E267" s="22">
        <f t="shared" si="17"/>
        <v>1.0998280790748272E-2</v>
      </c>
      <c r="F267" s="22">
        <f t="shared" si="18"/>
        <v>1.7681417052885617E-2</v>
      </c>
      <c r="G267" s="22">
        <f t="shared" si="19"/>
        <v>4.948364888123935E-2</v>
      </c>
      <c r="H267" s="20">
        <f>MAX($B$4:B267)</f>
        <v>124752.53</v>
      </c>
      <c r="I267" s="18">
        <f t="shared" si="16"/>
        <v>0.94198554538254231</v>
      </c>
      <c r="J267" s="19">
        <f>MAX($C$4:C267)</f>
        <v>713.44</v>
      </c>
      <c r="K267" s="18">
        <f>(J267/C267)-1</f>
        <v>1.2253969244206</v>
      </c>
      <c r="L267">
        <f>MAX($D$4:D267)</f>
        <v>234.86</v>
      </c>
      <c r="M267" s="18">
        <f>(L267/D267)-1</f>
        <v>2.2097854311876453</v>
      </c>
    </row>
    <row r="268" spans="1:13" ht="15.5" x14ac:dyDescent="0.35">
      <c r="A268" s="54">
        <v>46194</v>
      </c>
      <c r="B268" s="21">
        <v>63237.54</v>
      </c>
      <c r="C268" s="15">
        <v>320.23</v>
      </c>
      <c r="D268" s="15">
        <v>72.42</v>
      </c>
      <c r="E268" s="22">
        <f t="shared" si="17"/>
        <v>-1.5600015442169046E-2</v>
      </c>
      <c r="F268" s="22">
        <f t="shared" si="18"/>
        <v>-1.1229295985525356E-3</v>
      </c>
      <c r="G268" s="22">
        <f t="shared" si="19"/>
        <v>-1.0250102501024982E-2</v>
      </c>
      <c r="H268" s="20">
        <f>MAX($B$4:B268)</f>
        <v>124752.53</v>
      </c>
      <c r="I268" s="18">
        <f t="shared" si="16"/>
        <v>0.97276064185925004</v>
      </c>
      <c r="J268" s="19">
        <f>MAX($C$4:C268)</f>
        <v>713.44</v>
      </c>
      <c r="K268" s="18">
        <f>(J268/C268)-1</f>
        <v>1.2278986978109483</v>
      </c>
      <c r="L268">
        <f>MAX($D$4:D268)</f>
        <v>234.86</v>
      </c>
      <c r="M268" s="18">
        <f>(L268/D268)-1</f>
        <v>2.2430267881800607</v>
      </c>
    </row>
    <row r="269" spans="1:13" ht="15.5" x14ac:dyDescent="0.35">
      <c r="A269" s="54">
        <v>46195</v>
      </c>
      <c r="B269" s="21">
        <v>63952.11</v>
      </c>
      <c r="C269" s="15">
        <v>317.23</v>
      </c>
      <c r="D269" s="15">
        <v>71.91</v>
      </c>
      <c r="E269" s="22">
        <f t="shared" si="17"/>
        <v>1.1299775418208924E-2</v>
      </c>
      <c r="F269" s="22">
        <f t="shared" si="18"/>
        <v>-9.3682665584111646E-3</v>
      </c>
      <c r="G269" s="22">
        <f t="shared" si="19"/>
        <v>-7.0422535211268622E-3</v>
      </c>
      <c r="H269" s="20">
        <f>MAX($B$4:B269)</f>
        <v>124752.53</v>
      </c>
      <c r="I269" s="18">
        <f t="shared" si="16"/>
        <v>0.95071796692869093</v>
      </c>
      <c r="J269" s="19">
        <f>MAX($C$4:C269)</f>
        <v>713.44</v>
      </c>
      <c r="K269" s="18">
        <f>(J269/C269)-1</f>
        <v>1.2489676260126723</v>
      </c>
      <c r="L269">
        <f>MAX($D$4:D269)</f>
        <v>234.86</v>
      </c>
      <c r="M269" s="18">
        <f>(L269/D269)-1</f>
        <v>2.2660269781671536</v>
      </c>
    </row>
    <row r="270" spans="1:13" ht="15.5" x14ac:dyDescent="0.35">
      <c r="A270" s="54">
        <v>46196</v>
      </c>
      <c r="B270" s="21">
        <v>62668.02</v>
      </c>
      <c r="C270" s="15">
        <v>318.38</v>
      </c>
      <c r="D270" s="15">
        <v>69.64</v>
      </c>
      <c r="E270" s="22">
        <f t="shared" si="17"/>
        <v>-2.0078930937540651E-2</v>
      </c>
      <c r="F270" s="22">
        <f t="shared" si="18"/>
        <v>3.6251300318379531E-3</v>
      </c>
      <c r="G270" s="22">
        <f t="shared" si="19"/>
        <v>-3.1567236823807465E-2</v>
      </c>
      <c r="H270" s="20">
        <f>MAX($B$4:B270)</f>
        <v>124752.53</v>
      </c>
      <c r="I270" s="18">
        <f t="shared" si="16"/>
        <v>0.99068887129352423</v>
      </c>
      <c r="J270" s="19">
        <f>MAX($C$4:C270)</f>
        <v>713.44</v>
      </c>
      <c r="K270" s="18">
        <f>(J270/C270)-1</f>
        <v>1.2408442741378227</v>
      </c>
      <c r="L270">
        <f>MAX($D$4:D270)</f>
        <v>234.86</v>
      </c>
      <c r="M270" s="18">
        <f>(L270/D270)-1</f>
        <v>2.3724870763928778</v>
      </c>
    </row>
    <row r="271" spans="1:13" ht="15.5" x14ac:dyDescent="0.35">
      <c r="A271" s="54">
        <v>46197</v>
      </c>
      <c r="B271" s="21">
        <v>60995.13</v>
      </c>
      <c r="C271" s="15">
        <v>314.27999999999997</v>
      </c>
      <c r="D271" s="15">
        <v>67.98</v>
      </c>
      <c r="E271" s="22">
        <f t="shared" si="17"/>
        <v>-2.6694476704386072E-2</v>
      </c>
      <c r="F271" s="22">
        <f t="shared" si="18"/>
        <v>-1.2877693322444927E-2</v>
      </c>
      <c r="G271" s="22">
        <f t="shared" si="19"/>
        <v>-2.383687535898904E-2</v>
      </c>
      <c r="H271" s="20">
        <f>MAX($B$4:B271)</f>
        <v>124752.53</v>
      </c>
      <c r="I271" s="18">
        <f t="shared" si="16"/>
        <v>1.0452867302684656</v>
      </c>
      <c r="J271" s="19">
        <f>MAX($C$4:C271)</f>
        <v>713.44</v>
      </c>
      <c r="K271" s="18">
        <f>(J271/C271)-1</f>
        <v>1.2700776377752327</v>
      </c>
      <c r="L271">
        <f>MAX($D$4:D271)</f>
        <v>234.86</v>
      </c>
      <c r="M271" s="18">
        <f>(L271/D271)-1</f>
        <v>2.454839658723154</v>
      </c>
    </row>
    <row r="272" spans="1:13" ht="15.5" x14ac:dyDescent="0.35">
      <c r="A272" s="54">
        <v>46198</v>
      </c>
      <c r="B272" s="21">
        <v>59721.68</v>
      </c>
      <c r="C272" s="15">
        <v>307.48</v>
      </c>
      <c r="D272" s="15">
        <v>67.569999999999993</v>
      </c>
      <c r="E272" s="22">
        <f t="shared" si="17"/>
        <v>-2.0877896317296085E-2</v>
      </c>
      <c r="F272" s="22">
        <f t="shared" si="18"/>
        <v>-2.1636757031945897E-2</v>
      </c>
      <c r="G272" s="22">
        <f t="shared" si="19"/>
        <v>-6.0311856428363342E-3</v>
      </c>
      <c r="H272" s="20">
        <f>MAX($B$4:B272)</f>
        <v>124752.53</v>
      </c>
      <c r="I272" s="18">
        <f t="shared" si="16"/>
        <v>1.0888985373485811</v>
      </c>
      <c r="J272" s="19">
        <f>MAX($C$4:C272)</f>
        <v>713.44</v>
      </c>
      <c r="K272" s="18">
        <f>(J272/C272)-1</f>
        <v>1.3202809938857811</v>
      </c>
      <c r="L272">
        <f>MAX($D$4:D272)</f>
        <v>234.86</v>
      </c>
      <c r="M272" s="18">
        <f>(L272/D272)-1</f>
        <v>2.4758028710966409</v>
      </c>
    </row>
    <row r="273" spans="1:13" ht="15.5" x14ac:dyDescent="0.35">
      <c r="A273" s="54">
        <v>46199</v>
      </c>
      <c r="B273" s="21">
        <v>60016.43</v>
      </c>
      <c r="C273" s="15">
        <v>320.82</v>
      </c>
      <c r="D273" s="15">
        <v>71.84</v>
      </c>
      <c r="E273" s="22">
        <f t="shared" si="17"/>
        <v>4.9353936459926029E-3</v>
      </c>
      <c r="F273" s="22">
        <f t="shared" si="18"/>
        <v>4.3384935605567776E-2</v>
      </c>
      <c r="G273" s="22">
        <f t="shared" si="19"/>
        <v>6.319372502589915E-2</v>
      </c>
      <c r="H273" s="20">
        <f>MAX($B$4:B273)</f>
        <v>124752.53</v>
      </c>
      <c r="I273" s="18">
        <f t="shared" si="16"/>
        <v>1.0786396325139633</v>
      </c>
      <c r="J273" s="19">
        <f>MAX($C$4:C273)</f>
        <v>713.44</v>
      </c>
      <c r="K273" s="18">
        <f>(J273/C273)-1</f>
        <v>1.2238015086341254</v>
      </c>
      <c r="L273">
        <f>MAX($D$4:D273)</f>
        <v>234.86</v>
      </c>
      <c r="M273" s="18">
        <f>(L273/D273)-1</f>
        <v>2.2692093541202674</v>
      </c>
    </row>
    <row r="274" spans="1:13" ht="15.5" x14ac:dyDescent="0.35">
      <c r="A274" s="54">
        <v>46200</v>
      </c>
      <c r="B274" s="21">
        <v>59940.1</v>
      </c>
      <c r="C274" s="15">
        <v>312.72000000000003</v>
      </c>
      <c r="D274" s="15">
        <v>70.41</v>
      </c>
      <c r="E274" s="22">
        <f t="shared" si="17"/>
        <v>-1.2718184003946975E-3</v>
      </c>
      <c r="F274" s="22">
        <f t="shared" si="18"/>
        <v>-2.5247802506078054E-2</v>
      </c>
      <c r="G274" s="22">
        <f t="shared" si="19"/>
        <v>-1.9905345211581382E-2</v>
      </c>
      <c r="H274" s="20">
        <f>MAX($B$4:B274)</f>
        <v>124752.53</v>
      </c>
      <c r="I274" s="18">
        <f t="shared" si="16"/>
        <v>1.0812866511734214</v>
      </c>
      <c r="J274" s="19">
        <f>MAX($C$4:C274)</f>
        <v>713.44</v>
      </c>
      <c r="K274" s="18">
        <f>(J274/C274)-1</f>
        <v>1.2814018930672808</v>
      </c>
      <c r="L274">
        <f>MAX($D$4:D274)</f>
        <v>234.86</v>
      </c>
      <c r="M274" s="18">
        <f>(L274/D274)-1</f>
        <v>2.3356057378213326</v>
      </c>
    </row>
    <row r="275" spans="1:13" ht="15.5" x14ac:dyDescent="0.35">
      <c r="A275" s="54">
        <v>46201</v>
      </c>
      <c r="B275" s="21">
        <v>59532.34</v>
      </c>
      <c r="C275" s="15">
        <v>310.44</v>
      </c>
      <c r="D275" s="15">
        <v>71.31</v>
      </c>
      <c r="E275" s="22">
        <f t="shared" si="17"/>
        <v>-6.8027914534677381E-3</v>
      </c>
      <c r="F275" s="22">
        <f t="shared" si="18"/>
        <v>-7.2908672294705879E-3</v>
      </c>
      <c r="G275" s="22">
        <f t="shared" si="19"/>
        <v>1.2782275244993757E-2</v>
      </c>
      <c r="H275" s="20">
        <f>MAX($B$4:B275)</f>
        <v>124752.53</v>
      </c>
      <c r="I275" s="18">
        <f t="shared" si="16"/>
        <v>1.0955421876580025</v>
      </c>
      <c r="J275" s="19">
        <f>MAX($C$4:C275)</f>
        <v>713.44</v>
      </c>
      <c r="K275" s="18">
        <f>(J275/C275)-1</f>
        <v>1.2981574539363487</v>
      </c>
      <c r="L275">
        <f>MAX($D$4:D275)</f>
        <v>234.86</v>
      </c>
      <c r="M275" s="18">
        <f>(L275/D275)-1</f>
        <v>2.2935072219885009</v>
      </c>
    </row>
    <row r="276" spans="1:13" ht="15.5" x14ac:dyDescent="0.35">
      <c r="A276" s="54">
        <v>46202</v>
      </c>
      <c r="B276" s="21">
        <v>60138.38</v>
      </c>
      <c r="C276" s="15">
        <v>315.86</v>
      </c>
      <c r="D276" s="15">
        <v>74.95</v>
      </c>
      <c r="E276" s="22">
        <f t="shared" si="17"/>
        <v>1.0180013081965145E-2</v>
      </c>
      <c r="F276" s="22">
        <f t="shared" si="18"/>
        <v>1.7459090323411974E-2</v>
      </c>
      <c r="G276" s="22">
        <f t="shared" si="19"/>
        <v>5.1044734258869795E-2</v>
      </c>
      <c r="H276" s="20">
        <f>MAX($B$4:B276)</f>
        <v>124752.53</v>
      </c>
      <c r="I276" s="18">
        <f t="shared" si="16"/>
        <v>1.0744245189178692</v>
      </c>
      <c r="J276" s="19">
        <f>MAX($C$4:C276)</f>
        <v>713.44</v>
      </c>
      <c r="K276" s="18">
        <f>(J276/C276)-1</f>
        <v>1.2587222187044893</v>
      </c>
      <c r="L276">
        <f>MAX($D$4:D276)</f>
        <v>234.86</v>
      </c>
      <c r="M276" s="18">
        <f>(L276/D276)-1</f>
        <v>2.1335557038025352</v>
      </c>
    </row>
    <row r="277" spans="1:13" ht="15.5" x14ac:dyDescent="0.35">
      <c r="A277" s="54">
        <v>46203</v>
      </c>
      <c r="B277" s="21">
        <v>58558.86</v>
      </c>
      <c r="C277" s="15">
        <v>303.11</v>
      </c>
      <c r="D277" s="15">
        <v>73.52</v>
      </c>
      <c r="E277" s="22">
        <f t="shared" si="17"/>
        <v>-2.6264758046359082E-2</v>
      </c>
      <c r="F277" s="22">
        <f t="shared" si="18"/>
        <v>-4.0365984930032295E-2</v>
      </c>
      <c r="G277" s="22">
        <f t="shared" si="19"/>
        <v>-1.9079386257505049E-2</v>
      </c>
      <c r="H277" s="20">
        <f>MAX($B$4:B277)</f>
        <v>124752.53</v>
      </c>
      <c r="I277" s="18">
        <f t="shared" si="16"/>
        <v>1.130378391929078</v>
      </c>
      <c r="J277" s="19">
        <f>MAX($C$4:C277)</f>
        <v>713.44</v>
      </c>
      <c r="K277" s="18">
        <f>(J277/C277)-1</f>
        <v>1.3537329682293557</v>
      </c>
      <c r="L277">
        <f>MAX($D$4:D277)</f>
        <v>234.86</v>
      </c>
      <c r="M277" s="18">
        <f>(L277/D277)-1</f>
        <v>2.1945048966267686</v>
      </c>
    </row>
    <row r="278" spans="1:13" ht="15.5" x14ac:dyDescent="0.35">
      <c r="A278" s="54">
        <v>46204</v>
      </c>
      <c r="B278" s="21">
        <v>60003.76</v>
      </c>
      <c r="C278" s="15">
        <v>309.01</v>
      </c>
      <c r="D278" s="15">
        <v>77.38</v>
      </c>
      <c r="E278" s="22">
        <f t="shared" si="17"/>
        <v>2.467431913804341E-2</v>
      </c>
      <c r="F278" s="22">
        <f t="shared" si="18"/>
        <v>1.9464880736366208E-2</v>
      </c>
      <c r="G278" s="22">
        <f t="shared" si="19"/>
        <v>5.2502720348204468E-2</v>
      </c>
      <c r="H278" s="20">
        <f>MAX($B$4:B278)</f>
        <v>124752.53</v>
      </c>
      <c r="I278" s="18">
        <f t="shared" si="16"/>
        <v>1.079078544411217</v>
      </c>
      <c r="J278" s="19">
        <f>MAX($C$4:C278)</f>
        <v>713.44</v>
      </c>
      <c r="K278" s="18">
        <f>(J278/C278)-1</f>
        <v>1.3087925957088768</v>
      </c>
      <c r="L278">
        <f>MAX($D$4:D278)</f>
        <v>234.86</v>
      </c>
      <c r="M278" s="18">
        <f>(L278/D278)-1</f>
        <v>2.0351512018609466</v>
      </c>
    </row>
    <row r="279" spans="1:13" ht="15.5" x14ac:dyDescent="0.35">
      <c r="A279" s="54">
        <v>46205</v>
      </c>
      <c r="B279" s="21">
        <v>61485.3</v>
      </c>
      <c r="C279" s="15">
        <v>316.98</v>
      </c>
      <c r="D279" s="15">
        <v>80.64</v>
      </c>
      <c r="E279" s="22">
        <f t="shared" si="17"/>
        <v>2.4690786044074597E-2</v>
      </c>
      <c r="F279" s="22">
        <f t="shared" si="18"/>
        <v>2.5792045564868582E-2</v>
      </c>
      <c r="G279" s="22">
        <f t="shared" si="19"/>
        <v>4.2129749289222085E-2</v>
      </c>
      <c r="H279" s="20">
        <f>MAX($B$4:B279)</f>
        <v>124752.53</v>
      </c>
      <c r="I279" s="18">
        <f t="shared" si="16"/>
        <v>1.0289813988058931</v>
      </c>
      <c r="J279" s="19">
        <f>MAX($C$4:C279)</f>
        <v>713.44</v>
      </c>
      <c r="K279" s="18">
        <f>(J279/C279)-1</f>
        <v>1.250741371695375</v>
      </c>
      <c r="L279">
        <f>MAX($D$4:D279)</f>
        <v>234.86</v>
      </c>
      <c r="M279" s="18">
        <f>(L279/D279)-1</f>
        <v>1.9124503968253972</v>
      </c>
    </row>
    <row r="280" spans="1:13" ht="15.5" x14ac:dyDescent="0.35">
      <c r="A280" s="54">
        <v>46206</v>
      </c>
      <c r="B280" s="21">
        <v>62544.2</v>
      </c>
      <c r="C280" s="15">
        <v>323.48</v>
      </c>
      <c r="D280" s="15">
        <v>82.28</v>
      </c>
      <c r="E280" s="22">
        <f t="shared" si="17"/>
        <v>1.7222002657545588E-2</v>
      </c>
      <c r="F280" s="22">
        <f t="shared" si="18"/>
        <v>2.0506025616758183E-2</v>
      </c>
      <c r="G280" s="22">
        <f t="shared" si="19"/>
        <v>2.0337301587301626E-2</v>
      </c>
      <c r="H280" s="20">
        <f>MAX($B$4:B280)</f>
        <v>124752.53</v>
      </c>
      <c r="I280" s="18">
        <f t="shared" si="16"/>
        <v>0.99462987775045497</v>
      </c>
      <c r="J280" s="19">
        <f>MAX($C$4:C280)</f>
        <v>713.44</v>
      </c>
      <c r="K280" s="18">
        <f>(J280/C280)-1</f>
        <v>1.2055150241127737</v>
      </c>
      <c r="L280">
        <f>MAX($D$4:D280)</f>
        <v>234.86</v>
      </c>
      <c r="M280" s="18">
        <f>(L280/D280)-1</f>
        <v>1.8543996110841032</v>
      </c>
    </row>
    <row r="281" spans="1:13" ht="15.5" x14ac:dyDescent="0.35">
      <c r="A281" s="54">
        <v>46207</v>
      </c>
      <c r="B281" s="21">
        <v>63088.31</v>
      </c>
      <c r="C281" s="15">
        <v>328.32</v>
      </c>
      <c r="D281" s="15">
        <v>81.650000000000006</v>
      </c>
      <c r="E281" s="22">
        <f t="shared" si="17"/>
        <v>8.6996076374787901E-3</v>
      </c>
      <c r="F281" s="22">
        <f t="shared" si="18"/>
        <v>1.4962285149004551E-2</v>
      </c>
      <c r="G281" s="22">
        <f t="shared" si="19"/>
        <v>-7.6567817209527433E-3</v>
      </c>
      <c r="H281" s="20">
        <f>MAX($B$4:B281)</f>
        <v>124752.53</v>
      </c>
      <c r="I281" s="18">
        <f t="shared" si="16"/>
        <v>0.97742703838476586</v>
      </c>
      <c r="J281" s="19">
        <f>MAX($C$4:C281)</f>
        <v>713.44</v>
      </c>
      <c r="K281" s="18">
        <f>(J281/C281)-1</f>
        <v>1.1730019493177388</v>
      </c>
      <c r="L281">
        <f>MAX($D$4:D281)</f>
        <v>234.86</v>
      </c>
      <c r="M281" s="18">
        <f>(L281/D281)-1</f>
        <v>1.8764237599510105</v>
      </c>
    </row>
    <row r="282" spans="1:13" ht="15.5" x14ac:dyDescent="0.35">
      <c r="A282" s="54">
        <v>46208</v>
      </c>
      <c r="B282" s="21">
        <v>63547.88</v>
      </c>
      <c r="C282" s="15">
        <v>327.94</v>
      </c>
      <c r="D282" s="15">
        <v>81.42</v>
      </c>
      <c r="E282" s="22">
        <f t="shared" si="17"/>
        <v>7.2845508145644722E-3</v>
      </c>
      <c r="F282" s="22">
        <f t="shared" si="18"/>
        <v>-1.1574074074074403E-3</v>
      </c>
      <c r="G282" s="22">
        <f t="shared" si="19"/>
        <v>-2.8169014084507005E-3</v>
      </c>
      <c r="H282" s="20">
        <f>MAX($B$4:B282)</f>
        <v>124752.53</v>
      </c>
      <c r="I282" s="18">
        <f t="shared" si="16"/>
        <v>0.96312654332449799</v>
      </c>
      <c r="J282" s="19">
        <f>MAX($C$4:C282)</f>
        <v>713.44</v>
      </c>
      <c r="K282" s="18">
        <f>(J282/C282)-1</f>
        <v>1.1755199121790572</v>
      </c>
      <c r="L282">
        <f>MAX($D$4:D282)</f>
        <v>234.86</v>
      </c>
      <c r="M282" s="18">
        <f>(L282/D282)-1</f>
        <v>1.8845492507983299</v>
      </c>
    </row>
    <row r="283" spans="1:13" ht="15.5" x14ac:dyDescent="0.35">
      <c r="A283" s="54">
        <v>46209</v>
      </c>
      <c r="B283" s="21">
        <v>63995.02</v>
      </c>
      <c r="C283" s="15">
        <v>323.39</v>
      </c>
      <c r="D283" s="15">
        <v>81.92</v>
      </c>
      <c r="E283" s="22">
        <f t="shared" si="17"/>
        <v>7.0362693452559189E-3</v>
      </c>
      <c r="F283" s="22">
        <f t="shared" si="18"/>
        <v>-1.3874489235835896E-2</v>
      </c>
      <c r="G283" s="22">
        <f t="shared" si="19"/>
        <v>6.1409972979611371E-3</v>
      </c>
      <c r="H283" s="20">
        <f>MAX($B$4:B283)</f>
        <v>124752.53</v>
      </c>
      <c r="I283" s="18">
        <f t="shared" si="16"/>
        <v>0.9494099697132683</v>
      </c>
      <c r="J283" s="19">
        <f>MAX($C$4:C283)</f>
        <v>713.44</v>
      </c>
      <c r="K283" s="18">
        <f>(J283/C283)-1</f>
        <v>1.206128822783636</v>
      </c>
      <c r="L283">
        <f>MAX($D$4:D283)</f>
        <v>234.86</v>
      </c>
      <c r="M283" s="18">
        <f>(L283/D283)-1</f>
        <v>1.866943359375</v>
      </c>
    </row>
    <row r="284" spans="1:13" ht="15.5" x14ac:dyDescent="0.35">
      <c r="A284" s="54">
        <v>46210</v>
      </c>
      <c r="B284" s="21">
        <v>63297.4</v>
      </c>
      <c r="C284" s="15">
        <v>334.89</v>
      </c>
      <c r="D284" s="15">
        <v>80.650000000000006</v>
      </c>
      <c r="E284" s="22">
        <f t="shared" si="17"/>
        <v>-1.0901160746570548E-2</v>
      </c>
      <c r="F284" s="22">
        <f t="shared" si="18"/>
        <v>3.5560778007978078E-2</v>
      </c>
      <c r="G284" s="22">
        <f t="shared" si="19"/>
        <v>-1.55029296875E-2</v>
      </c>
      <c r="H284" s="20">
        <f>MAX($B$4:B284)</f>
        <v>124752.53</v>
      </c>
      <c r="I284" s="18">
        <f t="shared" si="16"/>
        <v>0.97089501306530757</v>
      </c>
      <c r="J284" s="19">
        <f>MAX($C$4:C284)</f>
        <v>713.44</v>
      </c>
      <c r="K284" s="18">
        <f>(J284/C284)-1</f>
        <v>1.1303711666517366</v>
      </c>
      <c r="L284">
        <f>MAX($D$4:D284)</f>
        <v>234.86</v>
      </c>
      <c r="M284" s="18">
        <f>(L284/D284)-1</f>
        <v>1.9120892746435212</v>
      </c>
    </row>
    <row r="285" spans="1:13" ht="15.5" x14ac:dyDescent="0.35">
      <c r="A285" s="54">
        <v>46211</v>
      </c>
      <c r="B285" s="21">
        <v>62257.58</v>
      </c>
      <c r="C285" s="15">
        <v>320.27999999999997</v>
      </c>
      <c r="D285" s="15">
        <v>77.790000000000006</v>
      </c>
      <c r="E285" s="22">
        <f t="shared" si="17"/>
        <v>-1.6427530988634587E-2</v>
      </c>
      <c r="F285" s="22">
        <f t="shared" si="18"/>
        <v>-4.3626265340858228E-2</v>
      </c>
      <c r="G285" s="22">
        <f t="shared" si="19"/>
        <v>-3.5461872287662732E-2</v>
      </c>
      <c r="H285" s="20">
        <f>MAX($B$4:B285)</f>
        <v>124752.53</v>
      </c>
      <c r="I285" s="18">
        <f t="shared" si="16"/>
        <v>1.0038127084284354</v>
      </c>
      <c r="J285" s="19">
        <f>MAX($C$4:C285)</f>
        <v>713.44</v>
      </c>
      <c r="K285" s="18">
        <f>(J285/C285)-1</f>
        <v>1.2275508929686527</v>
      </c>
      <c r="L285">
        <f>MAX($D$4:D285)</f>
        <v>234.86</v>
      </c>
      <c r="M285" s="18">
        <f>(L285/D285)-1</f>
        <v>2.0191541329219693</v>
      </c>
    </row>
    <row r="286" spans="1:13" ht="15.5" x14ac:dyDescent="0.35">
      <c r="A286" s="54">
        <v>46212</v>
      </c>
      <c r="B286" s="21">
        <v>63193.15</v>
      </c>
      <c r="C286" s="15">
        <v>313.98</v>
      </c>
      <c r="D286" s="15">
        <v>78.05</v>
      </c>
      <c r="E286" s="22">
        <f t="shared" si="17"/>
        <v>1.5027407104484247E-2</v>
      </c>
      <c r="F286" s="22">
        <f t="shared" si="18"/>
        <v>-1.967028849756447E-2</v>
      </c>
      <c r="G286" s="22">
        <f t="shared" si="19"/>
        <v>3.3423319192698031E-3</v>
      </c>
      <c r="H286" s="20">
        <f>MAX($B$4:B286)</f>
        <v>124752.53</v>
      </c>
      <c r="I286" s="18">
        <f t="shared" si="16"/>
        <v>0.97414640669123154</v>
      </c>
      <c r="J286" s="19">
        <f>MAX($C$4:C286)</f>
        <v>713.44</v>
      </c>
      <c r="K286" s="18">
        <f>(J286/C286)-1</f>
        <v>1.2722466399133703</v>
      </c>
      <c r="L286">
        <f>MAX($D$4:D286)</f>
        <v>234.86</v>
      </c>
      <c r="M286" s="18">
        <f>(L286/D286)-1</f>
        <v>2.0090967328635494</v>
      </c>
    </row>
    <row r="287" spans="1:13" ht="15.5" x14ac:dyDescent="0.35">
      <c r="A287" s="54">
        <v>46213</v>
      </c>
      <c r="B287" s="21">
        <v>64127.14</v>
      </c>
      <c r="C287" s="15">
        <v>322.08</v>
      </c>
      <c r="D287" s="15">
        <v>78.069999999999993</v>
      </c>
      <c r="E287" s="22">
        <f t="shared" si="17"/>
        <v>1.4779924722853721E-2</v>
      </c>
      <c r="F287" s="22">
        <f t="shared" si="18"/>
        <v>2.5797821517294039E-2</v>
      </c>
      <c r="G287" s="22">
        <f t="shared" si="19"/>
        <v>2.5624599615636789E-4</v>
      </c>
      <c r="H287" s="20">
        <f>MAX($B$4:B287)</f>
        <v>124752.53</v>
      </c>
      <c r="I287" s="18">
        <f t="shared" si="16"/>
        <v>0.94539363520655995</v>
      </c>
      <c r="J287" s="19">
        <f>MAX($C$4:C287)</f>
        <v>713.44</v>
      </c>
      <c r="K287" s="18">
        <f>(J287/C287)-1</f>
        <v>1.2151018380526581</v>
      </c>
      <c r="L287">
        <f>MAX($D$4:D287)</f>
        <v>234.86</v>
      </c>
      <c r="M287" s="18">
        <f>(L287/D287)-1</f>
        <v>2.0083258614064308</v>
      </c>
    </row>
    <row r="288" spans="1:13" ht="15.5" x14ac:dyDescent="0.35">
      <c r="A288" s="54">
        <v>46214</v>
      </c>
      <c r="B288" s="21">
        <v>63802.03</v>
      </c>
      <c r="C288" s="15">
        <v>322.77999999999997</v>
      </c>
      <c r="D288" s="15">
        <v>76.819999999999993</v>
      </c>
      <c r="E288" s="22">
        <f t="shared" si="17"/>
        <v>-5.0697723304048425E-3</v>
      </c>
      <c r="F288" s="22">
        <f t="shared" si="18"/>
        <v>2.1733730750124192E-3</v>
      </c>
      <c r="G288" s="22">
        <f t="shared" si="19"/>
        <v>-1.6011271935442606E-2</v>
      </c>
      <c r="H288" s="20">
        <f>MAX($B$4:B288)</f>
        <v>124752.53</v>
      </c>
      <c r="I288" s="18">
        <f t="shared" si="16"/>
        <v>0.95530659447669608</v>
      </c>
      <c r="J288" s="19">
        <f>MAX($C$4:C288)</f>
        <v>713.44</v>
      </c>
      <c r="K288" s="18">
        <f>(J288/C288)-1</f>
        <v>1.2102980358138673</v>
      </c>
      <c r="L288">
        <f>MAX($D$4:D288)</f>
        <v>234.86</v>
      </c>
      <c r="M288" s="18">
        <f>(L288/D288)-1</f>
        <v>2.0572767508461345</v>
      </c>
    </row>
    <row r="289" spans="1:13" ht="15.5" x14ac:dyDescent="0.35">
      <c r="A289" s="54">
        <v>46215</v>
      </c>
      <c r="B289" s="21">
        <v>63758.22</v>
      </c>
      <c r="C289" s="15">
        <v>324.52999999999997</v>
      </c>
      <c r="D289" s="15">
        <v>76.87</v>
      </c>
      <c r="E289" s="22">
        <f t="shared" si="17"/>
        <v>-6.8665526786526598E-4</v>
      </c>
      <c r="F289" s="22">
        <f t="shared" si="18"/>
        <v>5.4216494206580368E-3</v>
      </c>
      <c r="G289" s="22">
        <f t="shared" si="19"/>
        <v>6.5087216870618469E-4</v>
      </c>
      <c r="H289" s="20">
        <f>MAX($B$4:B289)</f>
        <v>124752.53</v>
      </c>
      <c r="I289" s="18">
        <f t="shared" si="16"/>
        <v>0.95665013860173631</v>
      </c>
      <c r="J289" s="19">
        <f>MAX($C$4:C289)</f>
        <v>713.44</v>
      </c>
      <c r="K289" s="18">
        <f>(J289/C289)-1</f>
        <v>1.1983791945274707</v>
      </c>
      <c r="L289">
        <f>MAX($D$4:D289)</f>
        <v>234.86</v>
      </c>
      <c r="M289" s="18">
        <f>(L289/D289)-1</f>
        <v>2.0552881488226875</v>
      </c>
    </row>
    <row r="290" spans="1:13" ht="15.5" x14ac:dyDescent="0.35">
      <c r="A290" s="54">
        <v>46216</v>
      </c>
      <c r="B290" s="21">
        <v>62239.12</v>
      </c>
      <c r="C290" s="15">
        <v>321.29000000000002</v>
      </c>
      <c r="D290" s="15">
        <v>74.86</v>
      </c>
      <c r="E290" s="22">
        <f t="shared" si="17"/>
        <v>-2.3825947462146835E-2</v>
      </c>
      <c r="F290" s="22">
        <f t="shared" si="18"/>
        <v>-9.9836686901055849E-3</v>
      </c>
      <c r="G290" s="22">
        <f t="shared" si="19"/>
        <v>-2.6148042149082951E-2</v>
      </c>
      <c r="H290" s="20">
        <f>MAX($B$4:B290)</f>
        <v>124752.53</v>
      </c>
      <c r="I290" s="18">
        <f t="shared" si="16"/>
        <v>1.0044070353179801</v>
      </c>
      <c r="J290" s="19">
        <f>MAX($C$4:C290)</f>
        <v>713.44</v>
      </c>
      <c r="K290" s="18">
        <f>(J290/C290)-1</f>
        <v>1.220548414205235</v>
      </c>
      <c r="L290">
        <f>MAX($D$4:D290)</f>
        <v>234.86</v>
      </c>
      <c r="M290" s="18">
        <f>(L290/D290)-1</f>
        <v>2.1373230029388193</v>
      </c>
    </row>
    <row r="291" spans="1:13" ht="15.5" x14ac:dyDescent="0.35">
      <c r="A291" s="54">
        <v>46217</v>
      </c>
      <c r="B291" s="21">
        <v>64956.11</v>
      </c>
      <c r="C291" s="15">
        <v>330.94</v>
      </c>
      <c r="D291" s="15">
        <v>77.760000000000005</v>
      </c>
      <c r="E291" s="22">
        <f t="shared" si="17"/>
        <v>4.3654055520065072E-2</v>
      </c>
      <c r="F291" s="22">
        <f t="shared" si="18"/>
        <v>3.0035170718042847E-2</v>
      </c>
      <c r="G291" s="22">
        <f t="shared" si="19"/>
        <v>3.8738979428266207E-2</v>
      </c>
      <c r="H291" s="20">
        <f>MAX($B$4:B291)</f>
        <v>124752.53</v>
      </c>
      <c r="I291" s="18">
        <f t="shared" si="16"/>
        <v>0.92056651791494293</v>
      </c>
      <c r="J291" s="19">
        <f>MAX($C$4:C291)</f>
        <v>713.44</v>
      </c>
      <c r="K291" s="18">
        <f>(J291/C291)-1</f>
        <v>1.1557986341935096</v>
      </c>
      <c r="L291">
        <f>MAX($D$4:D291)</f>
        <v>234.86</v>
      </c>
      <c r="M291" s="18">
        <f>(L291/D291)-1</f>
        <v>2.0203189300411522</v>
      </c>
    </row>
    <row r="292" spans="1:13" ht="15.5" x14ac:dyDescent="0.35">
      <c r="A292" s="54">
        <v>46218</v>
      </c>
      <c r="B292" s="21">
        <v>64712.38</v>
      </c>
      <c r="C292" s="15">
        <v>329.89</v>
      </c>
      <c r="D292" s="15">
        <v>77.260000000000005</v>
      </c>
      <c r="E292" s="22">
        <f t="shared" si="17"/>
        <v>-3.7522259260908131E-3</v>
      </c>
      <c r="F292" s="22">
        <f t="shared" si="18"/>
        <v>-3.172780564452804E-3</v>
      </c>
      <c r="G292" s="22">
        <f t="shared" si="19"/>
        <v>-6.4300411522634215E-3</v>
      </c>
      <c r="H292" s="20">
        <f>MAX($B$4:B292)</f>
        <v>124752.53</v>
      </c>
      <c r="I292" s="18">
        <f t="shared" si="16"/>
        <v>0.92780005927768383</v>
      </c>
      <c r="J292" s="19">
        <f>MAX($C$4:C292)</f>
        <v>713.44</v>
      </c>
      <c r="K292" s="18">
        <f>(J292/C292)-1</f>
        <v>1.1626602806996273</v>
      </c>
      <c r="L292">
        <f>MAX($D$4:D292)</f>
        <v>234.86</v>
      </c>
      <c r="M292" s="18">
        <f>(L292/D292)-1</f>
        <v>2.0398653895935799</v>
      </c>
    </row>
    <row r="293" spans="1:13" ht="15.5" x14ac:dyDescent="0.35">
      <c r="A293" s="54">
        <v>46219</v>
      </c>
      <c r="B293" s="21">
        <v>63789.279999999999</v>
      </c>
      <c r="C293" s="15">
        <v>334.91</v>
      </c>
      <c r="D293" s="15">
        <v>75.27</v>
      </c>
      <c r="E293" s="22">
        <f t="shared" si="17"/>
        <v>-1.4264658478022274E-2</v>
      </c>
      <c r="F293" s="22">
        <f t="shared" si="18"/>
        <v>1.5217193609991408E-2</v>
      </c>
      <c r="G293" s="22">
        <f t="shared" si="19"/>
        <v>-2.5757183536111894E-2</v>
      </c>
      <c r="H293" s="20">
        <f>MAX($B$4:B293)</f>
        <v>124752.53</v>
      </c>
      <c r="I293" s="18">
        <f t="shared" si="16"/>
        <v>0.95569741498885086</v>
      </c>
      <c r="J293" s="19">
        <f>MAX($C$4:C293)</f>
        <v>713.44</v>
      </c>
      <c r="K293" s="18">
        <f>(J293/C293)-1</f>
        <v>1.1302439461347826</v>
      </c>
      <c r="L293">
        <f>MAX($D$4:D293)</f>
        <v>234.86</v>
      </c>
      <c r="M293" s="18">
        <f>(L293/D293)-1</f>
        <v>2.1202338248970376</v>
      </c>
    </row>
    <row r="294" spans="1:13" ht="15.5" x14ac:dyDescent="0.35">
      <c r="A294" s="54">
        <v>46220</v>
      </c>
      <c r="B294" s="21">
        <v>63899.46</v>
      </c>
      <c r="C294" s="15">
        <v>330.56</v>
      </c>
      <c r="D294" s="15">
        <v>75.010000000000005</v>
      </c>
      <c r="E294" s="22">
        <f t="shared" si="17"/>
        <v>1.7272494688762574E-3</v>
      </c>
      <c r="F294" s="22">
        <f t="shared" si="18"/>
        <v>-1.2988564091845678E-2</v>
      </c>
      <c r="G294" s="22">
        <f t="shared" si="19"/>
        <v>-3.4542314335058721E-3</v>
      </c>
      <c r="H294" s="20">
        <f>MAX($B$4:B294)</f>
        <v>124752.53</v>
      </c>
      <c r="I294" s="18">
        <f t="shared" si="16"/>
        <v>0.9523252622166134</v>
      </c>
      <c r="J294" s="19">
        <f>MAX($C$4:C294)</f>
        <v>713.44</v>
      </c>
      <c r="K294" s="18">
        <f>(J294/C294)-1</f>
        <v>1.1582768635043563</v>
      </c>
      <c r="L294">
        <f>MAX($D$4:D294)</f>
        <v>234.86</v>
      </c>
      <c r="M294" s="18">
        <f>(L294/D294)-1</f>
        <v>2.1310491934408744</v>
      </c>
    </row>
    <row r="295" spans="1:13" ht="15.5" x14ac:dyDescent="0.35">
      <c r="A295" s="54">
        <v>46221</v>
      </c>
      <c r="B295" s="21">
        <v>64796.6</v>
      </c>
      <c r="C295" s="15">
        <v>335.86</v>
      </c>
      <c r="D295" s="15">
        <v>75.459999999999994</v>
      </c>
      <c r="E295" s="22">
        <f t="shared" si="17"/>
        <v>1.4039868255537602E-2</v>
      </c>
      <c r="F295" s="22">
        <f t="shared" si="18"/>
        <v>1.6033397870280686E-2</v>
      </c>
      <c r="G295" s="22">
        <f t="shared" si="19"/>
        <v>5.9992001066522249E-3</v>
      </c>
      <c r="H295" s="20">
        <f>MAX($B$4:B295)</f>
        <v>124752.53</v>
      </c>
      <c r="I295" s="18">
        <f t="shared" si="16"/>
        <v>0.92529438272995801</v>
      </c>
      <c r="J295" s="19">
        <f>MAX($C$4:C295)</f>
        <v>713.44</v>
      </c>
      <c r="K295" s="18">
        <f>(J295/C295)-1</f>
        <v>1.1242184243434767</v>
      </c>
      <c r="L295">
        <f>MAX($D$4:D295)</f>
        <v>234.86</v>
      </c>
      <c r="M295" s="18">
        <f>(L295/D295)-1</f>
        <v>2.112377418499868</v>
      </c>
    </row>
    <row r="296" spans="1:13" ht="15.5" x14ac:dyDescent="0.35">
      <c r="A296" s="54">
        <v>46222</v>
      </c>
      <c r="B296" s="21">
        <v>64690.8</v>
      </c>
      <c r="C296" s="15">
        <v>335.9</v>
      </c>
      <c r="D296" s="15">
        <v>76.36</v>
      </c>
      <c r="E296" s="22">
        <f t="shared" si="17"/>
        <v>-1.6328017210779366E-3</v>
      </c>
      <c r="F296" s="22">
        <f t="shared" si="18"/>
        <v>1.1909724289882462E-4</v>
      </c>
      <c r="G296" s="22">
        <f t="shared" si="19"/>
        <v>1.1926848661542699E-2</v>
      </c>
      <c r="H296" s="20">
        <f>MAX($B$4:B296)</f>
        <v>124752.53</v>
      </c>
      <c r="I296" s="18">
        <f t="shared" si="16"/>
        <v>0.92844314802104777</v>
      </c>
      <c r="J296" s="19">
        <f>MAX($C$4:C296)</f>
        <v>713.44</v>
      </c>
      <c r="K296" s="18">
        <f>(J296/C296)-1</f>
        <v>1.123965465912474</v>
      </c>
      <c r="L296">
        <f>MAX($D$4:D296)</f>
        <v>234.86</v>
      </c>
      <c r="M296" s="18">
        <f>(L296/D296)-1</f>
        <v>2.0756940806705084</v>
      </c>
    </row>
    <row r="297" spans="1:13" ht="15.5" x14ac:dyDescent="0.35">
      <c r="A297" s="54">
        <v>46223</v>
      </c>
      <c r="B297" s="21">
        <v>65230.03</v>
      </c>
      <c r="C297" s="15">
        <v>337.4</v>
      </c>
      <c r="D297" s="15">
        <v>77.790000000000006</v>
      </c>
      <c r="E297" s="22">
        <f t="shared" si="17"/>
        <v>8.3354974741385313E-3</v>
      </c>
      <c r="F297" s="22">
        <f t="shared" si="18"/>
        <v>4.465614766299586E-3</v>
      </c>
      <c r="G297" s="22">
        <f t="shared" si="19"/>
        <v>1.8727082242011583E-2</v>
      </c>
      <c r="H297" s="20">
        <f>MAX($B$4:B297)</f>
        <v>124752.53</v>
      </c>
      <c r="I297" s="18">
        <f t="shared" si="16"/>
        <v>0.91250149662663049</v>
      </c>
      <c r="J297" s="19">
        <f>MAX($C$4:C297)</f>
        <v>713.44</v>
      </c>
      <c r="K297" s="18">
        <f>(J297/C297)-1</f>
        <v>1.114522821576764</v>
      </c>
      <c r="L297">
        <f>MAX($D$4:D297)</f>
        <v>234.86</v>
      </c>
      <c r="M297" s="18">
        <f>(L297/D297)-1</f>
        <v>2.0191541329219693</v>
      </c>
    </row>
    <row r="298" spans="1:13" ht="15.5" x14ac:dyDescent="0.35">
      <c r="A298" s="54">
        <v>46224</v>
      </c>
      <c r="B298" s="21">
        <v>66505.119999999995</v>
      </c>
      <c r="C298" s="15">
        <v>357.23</v>
      </c>
      <c r="D298" s="15">
        <v>78.11</v>
      </c>
      <c r="E298" s="22">
        <f t="shared" si="17"/>
        <v>1.9547591807024922E-2</v>
      </c>
      <c r="F298" s="22">
        <f t="shared" si="18"/>
        <v>5.8772969768820627E-2</v>
      </c>
      <c r="G298" s="22">
        <f t="shared" si="19"/>
        <v>4.1136392852549886E-3</v>
      </c>
      <c r="H298" s="20">
        <f>MAX($B$4:B298)</f>
        <v>124752.53</v>
      </c>
      <c r="I298" s="18">
        <f t="shared" si="16"/>
        <v>0.87583346966368913</v>
      </c>
      <c r="J298" s="19">
        <f>MAX($C$4:C298)</f>
        <v>713.44</v>
      </c>
      <c r="K298" s="18">
        <f>(J298/C298)-1</f>
        <v>0.99714469669400674</v>
      </c>
      <c r="L298">
        <f>MAX($D$4:D298)</f>
        <v>234.86</v>
      </c>
      <c r="M298" s="18">
        <f>(L298/D298)-1</f>
        <v>2.0067853027781335</v>
      </c>
    </row>
    <row r="299" spans="1:13" ht="15.5" x14ac:dyDescent="0.35">
      <c r="A299" s="54">
        <v>46225</v>
      </c>
      <c r="B299" s="21">
        <v>66100.800000000003</v>
      </c>
      <c r="C299" s="15">
        <v>352.31</v>
      </c>
      <c r="D299" s="15">
        <v>77.91</v>
      </c>
      <c r="E299" s="22">
        <f t="shared" si="17"/>
        <v>-6.0795319217527011E-3</v>
      </c>
      <c r="F299" s="22">
        <f t="shared" si="18"/>
        <v>-1.3772639475967963E-2</v>
      </c>
      <c r="G299" s="22">
        <f t="shared" si="19"/>
        <v>-2.5604916143899814E-3</v>
      </c>
      <c r="H299" s="20">
        <f>MAX($B$4:B299)</f>
        <v>124752.53</v>
      </c>
      <c r="I299" s="18">
        <f t="shared" si="16"/>
        <v>0.88730741534141777</v>
      </c>
      <c r="J299" s="19">
        <f>MAX($C$4:C299)</f>
        <v>713.44</v>
      </c>
      <c r="K299" s="18">
        <f>(J299/C299)-1</f>
        <v>1.0250347705146039</v>
      </c>
      <c r="L299">
        <f>MAX($D$4:D299)</f>
        <v>234.86</v>
      </c>
      <c r="M299" s="18">
        <f>(L299/D299)-1</f>
        <v>2.0145039147734569</v>
      </c>
    </row>
    <row r="300" spans="1:13" ht="15.5" x14ac:dyDescent="0.35">
      <c r="A300" s="54">
        <v>46226</v>
      </c>
      <c r="B300" s="21">
        <v>65044.81</v>
      </c>
      <c r="C300" s="15">
        <v>355.65</v>
      </c>
      <c r="D300" s="15">
        <v>75.86</v>
      </c>
      <c r="E300" s="22">
        <f t="shared" si="17"/>
        <v>-1.5975449616343562E-2</v>
      </c>
      <c r="F300" s="22">
        <f t="shared" si="18"/>
        <v>9.4802872470267641E-3</v>
      </c>
      <c r="G300" s="22">
        <f t="shared" si="19"/>
        <v>-2.6312411757155707E-2</v>
      </c>
      <c r="H300" s="20">
        <f>MAX($B$4:B300)</f>
        <v>124752.53</v>
      </c>
      <c r="I300" s="18">
        <f t="shared" si="16"/>
        <v>0.91794748881578725</v>
      </c>
      <c r="J300" s="19">
        <f>MAX($C$4:C300)</f>
        <v>713.44</v>
      </c>
      <c r="K300" s="18">
        <f>(J300/C300)-1</f>
        <v>1.0060171516940817</v>
      </c>
      <c r="L300">
        <f>MAX($D$4:D300)</f>
        <v>234.86</v>
      </c>
      <c r="M300" s="18">
        <f>(L300/D300)-1</f>
        <v>2.0959662536250989</v>
      </c>
    </row>
    <row r="301" spans="1:13" ht="15.5" x14ac:dyDescent="0.35">
      <c r="A301" s="54">
        <v>46227</v>
      </c>
      <c r="B301" s="21">
        <v>64098.5</v>
      </c>
      <c r="C301" s="15">
        <v>363.67</v>
      </c>
      <c r="D301" s="15">
        <v>73.88</v>
      </c>
      <c r="E301" s="22">
        <f t="shared" si="17"/>
        <v>-1.4548585813380033E-2</v>
      </c>
      <c r="F301" s="22">
        <f t="shared" si="18"/>
        <v>2.2550260087164542E-2</v>
      </c>
      <c r="G301" s="22">
        <f t="shared" si="19"/>
        <v>-2.6100711837595658E-2</v>
      </c>
      <c r="H301" s="20">
        <f>MAX($B$4:B301)</f>
        <v>124752.53</v>
      </c>
      <c r="I301" s="18">
        <f t="shared" si="16"/>
        <v>0.94626286106539159</v>
      </c>
      <c r="J301" s="19">
        <f>MAX($C$4:C301)</f>
        <v>713.44</v>
      </c>
      <c r="K301" s="18">
        <f>(J301/C301)-1</f>
        <v>0.96177853548546777</v>
      </c>
      <c r="L301">
        <f>MAX($D$4:D301)</f>
        <v>234.86</v>
      </c>
      <c r="M301" s="18">
        <f>(L301/D301)-1</f>
        <v>2.1789388197076343</v>
      </c>
    </row>
    <row r="302" spans="1:13" ht="15.5" x14ac:dyDescent="0.35">
      <c r="A302" s="54">
        <v>46228</v>
      </c>
      <c r="B302" s="21">
        <v>64311.81</v>
      </c>
      <c r="C302" s="15">
        <v>363.94</v>
      </c>
      <c r="D302" s="15">
        <v>74.430000000000007</v>
      </c>
      <c r="E302" s="22">
        <f t="shared" si="17"/>
        <v>3.3278469854989279E-3</v>
      </c>
      <c r="F302" s="22">
        <f t="shared" si="18"/>
        <v>7.4243132510232179E-4</v>
      </c>
      <c r="G302" s="22">
        <f t="shared" si="19"/>
        <v>7.4445046020574779E-3</v>
      </c>
      <c r="H302" s="20">
        <f>MAX($B$4:B302)</f>
        <v>124752.53</v>
      </c>
      <c r="I302" s="18">
        <f t="shared" si="16"/>
        <v>0.93980747859530012</v>
      </c>
      <c r="J302" s="19">
        <f>MAX($C$4:C302)</f>
        <v>713.44</v>
      </c>
      <c r="K302" s="18">
        <f>(J302/C302)-1</f>
        <v>0.96032313018629467</v>
      </c>
      <c r="L302">
        <f>MAX($D$4:D302)</f>
        <v>234.86</v>
      </c>
      <c r="M302" s="18">
        <f>(L302/D302)-1</f>
        <v>2.1554480720139728</v>
      </c>
    </row>
    <row r="303" spans="1:13" ht="15.5" x14ac:dyDescent="0.35">
      <c r="A303" s="54">
        <v>46229</v>
      </c>
      <c r="B303" s="21">
        <v>65340.3</v>
      </c>
      <c r="C303" s="15">
        <v>353.74</v>
      </c>
      <c r="D303" s="15">
        <v>76.599999999999994</v>
      </c>
      <c r="E303" s="22">
        <f t="shared" si="17"/>
        <v>1.599224154941381E-2</v>
      </c>
      <c r="F303" s="22">
        <f t="shared" si="18"/>
        <v>-2.8026597790844598E-2</v>
      </c>
      <c r="G303" s="22">
        <f t="shared" si="19"/>
        <v>2.9154910654305866E-2</v>
      </c>
      <c r="H303" s="20">
        <f>MAX($B$4:B303)</f>
        <v>124752.53</v>
      </c>
      <c r="I303" s="18">
        <f t="shared" si="16"/>
        <v>0.90927390905765648</v>
      </c>
      <c r="J303" s="19">
        <f>MAX($C$4:C303)</f>
        <v>713.44</v>
      </c>
      <c r="K303" s="18">
        <f>(J303/C303)-1</f>
        <v>1.016848532820716</v>
      </c>
      <c r="L303">
        <f>MAX($D$4:D303)</f>
        <v>234.86</v>
      </c>
      <c r="M303" s="18">
        <f>(L303/D303)-1</f>
        <v>2.066057441253264</v>
      </c>
    </row>
    <row r="304" spans="1:13" ht="15.5" x14ac:dyDescent="0.35">
      <c r="A304" s="54">
        <v>46230</v>
      </c>
      <c r="B304" s="21">
        <v>63724.9</v>
      </c>
      <c r="C304" s="15">
        <v>346.33</v>
      </c>
      <c r="D304" s="15">
        <v>74.14</v>
      </c>
      <c r="E304" s="22">
        <f t="shared" si="17"/>
        <v>-2.4722873938442302E-2</v>
      </c>
      <c r="F304" s="22">
        <f t="shared" si="18"/>
        <v>-2.0947588624413482E-2</v>
      </c>
      <c r="G304" s="22">
        <f t="shared" si="19"/>
        <v>-3.2114882506527387E-2</v>
      </c>
      <c r="H304" s="20">
        <f>MAX($B$4:B304)</f>
        <v>124752.53</v>
      </c>
      <c r="I304" s="18">
        <f t="shared" si="16"/>
        <v>0.95767321721964249</v>
      </c>
      <c r="J304" s="19">
        <f>MAX($C$4:C304)</f>
        <v>713.44</v>
      </c>
      <c r="K304" s="18">
        <f>(J304/C304)-1</f>
        <v>1.060000577483903</v>
      </c>
      <c r="L304">
        <f>MAX($D$4:D304)</f>
        <v>234.86</v>
      </c>
      <c r="M304" s="18">
        <f>(L304/D304)-1</f>
        <v>2.167790666306987</v>
      </c>
    </row>
    <row r="305" spans="1:13" ht="15.5" x14ac:dyDescent="0.35">
      <c r="A305" s="54">
        <v>46231</v>
      </c>
      <c r="B305" s="21">
        <v>63871.360000000001</v>
      </c>
      <c r="C305" s="15">
        <v>341.49</v>
      </c>
      <c r="D305" s="15">
        <v>73.7</v>
      </c>
      <c r="E305" s="22">
        <f t="shared" si="17"/>
        <v>2.2983166705636826E-3</v>
      </c>
      <c r="F305" s="22">
        <f t="shared" si="18"/>
        <v>-1.397511044379629E-2</v>
      </c>
      <c r="G305" s="22">
        <f t="shared" si="19"/>
        <v>-5.9347181008901906E-3</v>
      </c>
      <c r="H305" s="20">
        <f>MAX($B$4:B305)</f>
        <v>124752.53</v>
      </c>
      <c r="I305" s="18">
        <f t="shared" si="16"/>
        <v>0.95318418145472394</v>
      </c>
      <c r="J305" s="19">
        <f>MAX($C$4:C305)</f>
        <v>713.44</v>
      </c>
      <c r="K305" s="18">
        <f>(J305/C305)-1</f>
        <v>1.08919734106416</v>
      </c>
      <c r="L305">
        <f>MAX($D$4:D305)</f>
        <v>234.86</v>
      </c>
      <c r="M305" s="18">
        <f>(L305/D305)-1</f>
        <v>2.1867028493894165</v>
      </c>
    </row>
    <row r="306" spans="1:13" ht="15.5" x14ac:dyDescent="0.35">
      <c r="A306" s="54">
        <v>46232</v>
      </c>
      <c r="B306" s="21">
        <v>63908.17</v>
      </c>
      <c r="C306" s="15">
        <v>353.06</v>
      </c>
      <c r="D306" s="15">
        <v>73.599999999999994</v>
      </c>
      <c r="E306" s="22">
        <f t="shared" si="17"/>
        <v>5.7631464243135255E-4</v>
      </c>
      <c r="F306" s="22">
        <f t="shared" si="18"/>
        <v>3.3880933555887394E-2</v>
      </c>
      <c r="G306" s="22">
        <f t="shared" si="19"/>
        <v>-1.3568521031208647E-3</v>
      </c>
      <c r="H306" s="20">
        <f>MAX($B$4:B306)</f>
        <v>124752.53</v>
      </c>
      <c r="I306" s="18">
        <f t="shared" si="16"/>
        <v>0.95205918116572574</v>
      </c>
      <c r="J306" s="19">
        <f>MAX($C$4:C306)</f>
        <v>713.44</v>
      </c>
      <c r="K306" s="18">
        <f>(J306/C306)-1</f>
        <v>1.020733019883306</v>
      </c>
      <c r="L306">
        <f>MAX($D$4:D306)</f>
        <v>234.86</v>
      </c>
      <c r="M306" s="18">
        <f>(L306/D306)-1</f>
        <v>2.1910326086956524</v>
      </c>
    </row>
    <row r="307" spans="1:13" ht="15.5" x14ac:dyDescent="0.35">
      <c r="A307" s="54">
        <v>46233</v>
      </c>
      <c r="B307" s="21">
        <v>64725.31</v>
      </c>
      <c r="C307" s="15">
        <v>360.45</v>
      </c>
      <c r="D307" s="15">
        <v>74.47</v>
      </c>
      <c r="E307" s="22">
        <f t="shared" si="17"/>
        <v>1.2786158639810807E-2</v>
      </c>
      <c r="F307" s="22">
        <f t="shared" si="18"/>
        <v>2.0931286466889354E-2</v>
      </c>
      <c r="G307" s="22">
        <f t="shared" si="19"/>
        <v>1.1820652173913038E-2</v>
      </c>
      <c r="H307" s="20">
        <f>MAX($B$4:B307)</f>
        <v>124752.53</v>
      </c>
      <c r="I307" s="18">
        <f t="shared" si="16"/>
        <v>0.92741494787742229</v>
      </c>
      <c r="J307" s="19">
        <f>MAX($C$4:C307)</f>
        <v>713.44</v>
      </c>
      <c r="K307" s="18">
        <f>(J307/C307)-1</f>
        <v>0.97930364821750615</v>
      </c>
      <c r="L307">
        <f>MAX($D$4:D307)</f>
        <v>234.86</v>
      </c>
      <c r="M307" s="18">
        <f>(L307/D307)-1</f>
        <v>2.1537531892037065</v>
      </c>
    </row>
    <row r="308" spans="1:13" ht="15.5" x14ac:dyDescent="0.35">
      <c r="A308" s="54">
        <v>46234</v>
      </c>
      <c r="B308" s="21">
        <v>62813.75</v>
      </c>
      <c r="C308" s="15">
        <v>358.34</v>
      </c>
      <c r="D308" s="15">
        <v>72.790000000000006</v>
      </c>
      <c r="E308" s="22">
        <f t="shared" si="17"/>
        <v>-2.9533423632887912E-2</v>
      </c>
      <c r="F308" s="22">
        <f t="shared" si="18"/>
        <v>-5.8537938687751589E-3</v>
      </c>
      <c r="G308" s="22">
        <f t="shared" si="19"/>
        <v>-2.2559419900631039E-2</v>
      </c>
      <c r="H308" s="20">
        <f>MAX($B$4:B308)</f>
        <v>124752.53</v>
      </c>
      <c r="I308" s="18">
        <f t="shared" si="16"/>
        <v>0.98607040655907352</v>
      </c>
      <c r="J308" s="19">
        <f>MAX($C$4:C308)</f>
        <v>713.44</v>
      </c>
      <c r="K308" s="18">
        <f>(J308/C308)-1</f>
        <v>0.99095830775241422</v>
      </c>
      <c r="L308">
        <f>MAX($D$4:D308)</f>
        <v>234.86</v>
      </c>
      <c r="M308" s="18">
        <f>(L308/D308)-1</f>
        <v>2.2265421074323397</v>
      </c>
    </row>
    <row r="309" spans="1:13" ht="15.5" x14ac:dyDescent="0.35">
      <c r="A309" s="54">
        <v>46235</v>
      </c>
      <c r="B309" s="21">
        <v>62763.32</v>
      </c>
      <c r="C309" s="15">
        <v>363.85</v>
      </c>
      <c r="D309" s="15">
        <v>71.87</v>
      </c>
      <c r="E309" s="22">
        <f t="shared" si="17"/>
        <v>-8.0284969453348065E-4</v>
      </c>
      <c r="F309" s="22">
        <f t="shared" si="18"/>
        <v>1.5376458112407398E-2</v>
      </c>
      <c r="G309" s="22">
        <f t="shared" si="19"/>
        <v>-1.2639098777304625E-2</v>
      </c>
      <c r="H309" s="20">
        <f>MAX($B$4:B309)</f>
        <v>124752.53</v>
      </c>
      <c r="I309" s="18">
        <f t="shared" si="16"/>
        <v>0.98766620376359948</v>
      </c>
      <c r="J309" s="19">
        <f>MAX($C$4:C309)</f>
        <v>713.44</v>
      </c>
      <c r="K309" s="18">
        <f>(J309/C309)-1</f>
        <v>0.96080802528514497</v>
      </c>
      <c r="L309">
        <f>MAX($D$4:D309)</f>
        <v>234.86</v>
      </c>
      <c r="M309" s="18">
        <f>(L309/D309)-1</f>
        <v>2.2678447196326701</v>
      </c>
    </row>
    <row r="310" spans="1:13" ht="15.5" x14ac:dyDescent="0.35">
      <c r="A310" s="54">
        <v>46236</v>
      </c>
      <c r="B310" s="21">
        <v>63482</v>
      </c>
      <c r="C310" s="15">
        <v>364.1</v>
      </c>
      <c r="D310" s="15">
        <v>73.45</v>
      </c>
      <c r="E310" s="22">
        <f t="shared" si="17"/>
        <v>1.1450637091855675E-2</v>
      </c>
      <c r="F310" s="22">
        <f t="shared" si="18"/>
        <v>6.8709633090557887E-4</v>
      </c>
      <c r="G310" s="22">
        <f t="shared" si="19"/>
        <v>2.1984138026993172E-2</v>
      </c>
      <c r="H310" s="20">
        <f>MAX($B$4:B310)</f>
        <v>124752.53</v>
      </c>
      <c r="I310" s="18">
        <f t="shared" si="16"/>
        <v>0.9651638259664157</v>
      </c>
      <c r="J310" s="19">
        <f>MAX($C$4:C310)</f>
        <v>713.44</v>
      </c>
      <c r="K310" s="18">
        <f>(J310/C310)-1</f>
        <v>0.95946168634990392</v>
      </c>
      <c r="L310">
        <f>MAX($D$4:D310)</f>
        <v>234.86</v>
      </c>
      <c r="M310" s="18">
        <f>(L310/D310)-1</f>
        <v>2.1975493533015658</v>
      </c>
    </row>
    <row r="311" spans="1:13" ht="15.5" x14ac:dyDescent="0.35">
      <c r="A311" s="54">
        <v>46237</v>
      </c>
      <c r="B311" s="21">
        <v>63460.9</v>
      </c>
      <c r="C311" s="15">
        <v>362.28</v>
      </c>
      <c r="D311" s="15">
        <v>73.47</v>
      </c>
      <c r="E311" s="22">
        <f t="shared" si="17"/>
        <v>-3.3237768186256123E-4</v>
      </c>
      <c r="F311" s="22">
        <f t="shared" si="18"/>
        <v>-4.9986267508927984E-3</v>
      </c>
      <c r="G311" s="22">
        <f t="shared" si="19"/>
        <v>2.7229407760365198E-4</v>
      </c>
      <c r="H311" s="20">
        <f>MAX($B$4:B311)</f>
        <v>124752.53</v>
      </c>
      <c r="I311" s="18">
        <f t="shared" si="16"/>
        <v>0.96581721973687729</v>
      </c>
      <c r="J311" s="19">
        <f>MAX($C$4:C311)</f>
        <v>713.44</v>
      </c>
      <c r="K311" s="18">
        <f>(J311/C311)-1</f>
        <v>0.96930550955062422</v>
      </c>
      <c r="L311">
        <f>MAX($D$4:D311)</f>
        <v>234.86</v>
      </c>
      <c r="M311" s="18">
        <f>(L311/D311)-1</f>
        <v>2.1966789165645846</v>
      </c>
    </row>
    <row r="312" spans="1:13" ht="15.5" x14ac:dyDescent="0.35">
      <c r="A312" s="54">
        <v>46238</v>
      </c>
      <c r="B312" s="21">
        <v>64055.95</v>
      </c>
      <c r="C312" s="15">
        <v>350.67</v>
      </c>
      <c r="D312" s="15">
        <v>73.72</v>
      </c>
      <c r="E312" s="22">
        <f t="shared" si="17"/>
        <v>9.376639789224539E-3</v>
      </c>
      <c r="F312" s="22">
        <f t="shared" si="18"/>
        <v>-3.2047035442199334E-2</v>
      </c>
      <c r="G312" s="22">
        <f t="shared" si="19"/>
        <v>3.4027494215325138E-3</v>
      </c>
      <c r="H312" s="20">
        <f>MAX($B$4:B312)</f>
        <v>124752.53</v>
      </c>
      <c r="I312" s="18">
        <f t="shared" si="16"/>
        <v>0.94755569154777985</v>
      </c>
      <c r="J312" s="19">
        <f>MAX($C$4:C312)</f>
        <v>713.44</v>
      </c>
      <c r="K312" s="18">
        <f>(J312/C312)-1</f>
        <v>1.034505375424188</v>
      </c>
      <c r="L312">
        <f>MAX($D$4:D312)</f>
        <v>234.86</v>
      </c>
      <c r="M312" s="18">
        <f>(L312/D312)-1</f>
        <v>2.1858383071079763</v>
      </c>
    </row>
    <row r="313" spans="1:13" ht="15.5" x14ac:dyDescent="0.35">
      <c r="A313" s="54">
        <v>46239</v>
      </c>
      <c r="B313" s="21">
        <v>64597.5</v>
      </c>
      <c r="C313" s="15">
        <v>365.91</v>
      </c>
      <c r="D313" s="15">
        <v>73.959999999999994</v>
      </c>
      <c r="E313" s="22">
        <f t="shared" si="17"/>
        <v>8.4543278181028469E-3</v>
      </c>
      <c r="F313" s="22">
        <f t="shared" si="18"/>
        <v>4.3459662930960707E-2</v>
      </c>
      <c r="G313" s="22">
        <f t="shared" si="19"/>
        <v>3.2555615843732344E-3</v>
      </c>
      <c r="H313" s="20">
        <f>MAX($B$4:B313)</f>
        <v>124752.53</v>
      </c>
      <c r="I313" s="18">
        <f t="shared" si="16"/>
        <v>0.93122845311351066</v>
      </c>
      <c r="J313" s="19">
        <f>MAX($C$4:C313)</f>
        <v>713.44</v>
      </c>
      <c r="K313" s="18">
        <f>(J313/C313)-1</f>
        <v>0.9497690688967233</v>
      </c>
      <c r="L313">
        <f>MAX($D$4:D313)</f>
        <v>234.86</v>
      </c>
      <c r="M313" s="18">
        <f>(L313/D313)-1</f>
        <v>2.1755002704164417</v>
      </c>
    </row>
    <row r="314" spans="1:13" ht="15.5" x14ac:dyDescent="0.35">
      <c r="A314" s="54">
        <v>46240</v>
      </c>
      <c r="B314" s="21">
        <v>64262.11</v>
      </c>
      <c r="C314" s="15">
        <v>369.52</v>
      </c>
      <c r="D314" s="15">
        <v>72.58</v>
      </c>
      <c r="E314" s="22">
        <f t="shared" si="17"/>
        <v>-5.1919965942954782E-3</v>
      </c>
      <c r="F314" s="22">
        <f t="shared" si="18"/>
        <v>9.8658139979774795E-3</v>
      </c>
      <c r="G314" s="22">
        <f t="shared" si="19"/>
        <v>-1.8658734451054593E-2</v>
      </c>
      <c r="H314" s="20">
        <f>MAX($B$4:B314)</f>
        <v>124752.53</v>
      </c>
      <c r="I314" s="18">
        <f t="shared" si="16"/>
        <v>0.94130771616431508</v>
      </c>
      <c r="J314" s="19">
        <f>MAX($C$4:C314)</f>
        <v>713.44</v>
      </c>
      <c r="K314" s="18">
        <f>(J314/C314)-1</f>
        <v>0.93072093526737421</v>
      </c>
      <c r="L314">
        <f>MAX($D$4:D314)</f>
        <v>234.86</v>
      </c>
      <c r="M314" s="18">
        <f>(L314/D314)-1</f>
        <v>2.2358776522457982</v>
      </c>
    </row>
    <row r="315" spans="1:13" ht="15.5" x14ac:dyDescent="0.35">
      <c r="A315" s="54">
        <v>46241</v>
      </c>
      <c r="B315" s="21">
        <v>64880.19</v>
      </c>
      <c r="C315" s="15">
        <v>377.9</v>
      </c>
      <c r="D315" s="15">
        <v>73.64</v>
      </c>
      <c r="E315" s="22">
        <f t="shared" si="17"/>
        <v>9.6181093337894819E-3</v>
      </c>
      <c r="F315" s="22">
        <f t="shared" si="18"/>
        <v>2.2678068846070598E-2</v>
      </c>
      <c r="G315" s="22">
        <f t="shared" si="19"/>
        <v>1.4604574262882419E-2</v>
      </c>
      <c r="H315" s="20">
        <f>MAX($B$4:B315)</f>
        <v>124752.53</v>
      </c>
      <c r="I315" s="18">
        <f t="shared" si="16"/>
        <v>0.92281388201853276</v>
      </c>
      <c r="J315" s="19">
        <f>MAX($C$4:C315)</f>
        <v>713.44</v>
      </c>
      <c r="K315" s="18">
        <f>(J315/C315)-1</f>
        <v>0.887906853664991</v>
      </c>
      <c r="L315">
        <f>MAX($D$4:D315)</f>
        <v>234.86</v>
      </c>
      <c r="M315" s="18">
        <f>(L315/D315)-1</f>
        <v>2.1892992938620317</v>
      </c>
    </row>
    <row r="316" spans="1:13" ht="15.5" x14ac:dyDescent="0.35">
      <c r="A316" s="54">
        <v>46242</v>
      </c>
      <c r="B316" s="21">
        <v>64904.69</v>
      </c>
      <c r="C316" s="15">
        <v>377.06</v>
      </c>
      <c r="D316" s="15">
        <v>75.97</v>
      </c>
      <c r="E316" s="22">
        <f t="shared" si="17"/>
        <v>3.7761911609690557E-4</v>
      </c>
      <c r="F316" s="22">
        <f t="shared" si="18"/>
        <v>-2.2228102672664507E-3</v>
      </c>
      <c r="G316" s="22">
        <f t="shared" si="19"/>
        <v>3.1640412819120112E-2</v>
      </c>
      <c r="H316" s="20">
        <f>MAX($B$4:B316)</f>
        <v>124752.53</v>
      </c>
      <c r="I316" s="18">
        <f t="shared" si="16"/>
        <v>0.92208806482243411</v>
      </c>
      <c r="J316" s="19">
        <f>MAX($C$4:C316)</f>
        <v>713.44</v>
      </c>
      <c r="K316" s="18">
        <f>(J316/C316)-1</f>
        <v>0.89211266111494214</v>
      </c>
      <c r="L316">
        <f>MAX($D$4:D316)</f>
        <v>234.86</v>
      </c>
      <c r="M316" s="18">
        <f>(L316/D316)-1</f>
        <v>2.0914834803211795</v>
      </c>
    </row>
    <row r="317" spans="1:13" ht="15.5" x14ac:dyDescent="0.35">
      <c r="A317" s="54">
        <v>46243</v>
      </c>
      <c r="B317" s="21">
        <v>64844.89</v>
      </c>
      <c r="C317" s="15">
        <v>394.69</v>
      </c>
      <c r="D317" s="15">
        <v>76.209999999999994</v>
      </c>
      <c r="E317" s="22">
        <f t="shared" si="17"/>
        <v>-9.2135098403522964E-4</v>
      </c>
      <c r="F317" s="22">
        <f t="shared" si="18"/>
        <v>4.6756484379143926E-2</v>
      </c>
      <c r="G317" s="22">
        <f t="shared" si="19"/>
        <v>3.1591417664866839E-3</v>
      </c>
      <c r="H317" s="20">
        <f>MAX($B$4:B317)</f>
        <v>124752.53</v>
      </c>
      <c r="I317" s="18">
        <f t="shared" si="16"/>
        <v>0.92386061569385025</v>
      </c>
      <c r="J317" s="19">
        <f>MAX($C$4:C317)</f>
        <v>713.44</v>
      </c>
      <c r="K317" s="18">
        <f>(J317/C317)-1</f>
        <v>0.80759583470571861</v>
      </c>
      <c r="L317">
        <f>MAX($D$4:D317)</f>
        <v>234.86</v>
      </c>
      <c r="M317" s="18">
        <f>(L317/D317)-1</f>
        <v>2.0817478021257059</v>
      </c>
    </row>
    <row r="318" spans="1:13" ht="15.5" x14ac:dyDescent="0.35">
      <c r="A318" s="54">
        <v>46244</v>
      </c>
      <c r="B318" s="21">
        <v>63910.59</v>
      </c>
      <c r="C318" s="15">
        <v>396.81</v>
      </c>
      <c r="D318" s="15">
        <v>75.95</v>
      </c>
      <c r="E318" s="22">
        <f t="shared" si="17"/>
        <v>-1.4408228620636176E-2</v>
      </c>
      <c r="F318" s="22">
        <f t="shared" si="18"/>
        <v>5.371304061415394E-3</v>
      </c>
      <c r="G318" s="22">
        <f t="shared" si="19"/>
        <v>-3.4116257708960429E-3</v>
      </c>
      <c r="H318" s="20">
        <f>MAX($B$4:B318)</f>
        <v>124752.53</v>
      </c>
      <c r="I318" s="18">
        <f t="shared" si="16"/>
        <v>0.95198526566567465</v>
      </c>
      <c r="J318" s="19">
        <f>MAX($C$4:C318)</f>
        <v>713.44</v>
      </c>
      <c r="K318" s="18">
        <f>(J318/C318)-1</f>
        <v>0.79793856001612884</v>
      </c>
      <c r="L318">
        <f>MAX($D$4:D318)</f>
        <v>234.86</v>
      </c>
      <c r="M318" s="18">
        <f>(L318/D318)-1</f>
        <v>2.092297564186965</v>
      </c>
    </row>
    <row r="319" spans="1:13" ht="15.5" x14ac:dyDescent="0.35">
      <c r="A319" s="54">
        <v>46245</v>
      </c>
      <c r="B319" s="21">
        <v>63551.87</v>
      </c>
      <c r="C319" s="15">
        <v>377.19</v>
      </c>
      <c r="D319" s="15">
        <v>76.2</v>
      </c>
      <c r="E319" s="22">
        <f t="shared" si="17"/>
        <v>-5.6128413147178424E-3</v>
      </c>
      <c r="F319" s="22">
        <f t="shared" si="18"/>
        <v>-4.9444318439555435E-2</v>
      </c>
      <c r="G319" s="22">
        <f t="shared" si="19"/>
        <v>3.2916392363397939E-3</v>
      </c>
      <c r="H319" s="20">
        <f>MAX($B$4:B319)</f>
        <v>124752.53</v>
      </c>
      <c r="I319" s="18">
        <f t="shared" si="16"/>
        <v>0.96300329164192955</v>
      </c>
      <c r="J319" s="19">
        <f>MAX($C$4:C319)</f>
        <v>713.44</v>
      </c>
      <c r="K319" s="18">
        <f>(J319/C319)-1</f>
        <v>0.89146053712982853</v>
      </c>
      <c r="L319">
        <f>MAX($D$4:D319)</f>
        <v>234.86</v>
      </c>
      <c r="M319" s="18">
        <f>(L319/D319)-1</f>
        <v>2.0821522309711287</v>
      </c>
    </row>
    <row r="320" spans="1:13" ht="15.5" x14ac:dyDescent="0.35">
      <c r="A320" s="54">
        <v>46246</v>
      </c>
      <c r="B320" s="21">
        <v>63402.43</v>
      </c>
      <c r="C320" s="15">
        <v>392.43</v>
      </c>
      <c r="D320" s="15">
        <v>75.53</v>
      </c>
      <c r="E320" s="22">
        <f t="shared" si="17"/>
        <v>-2.3514650316348584E-3</v>
      </c>
      <c r="F320" s="22">
        <f t="shared" si="18"/>
        <v>4.0404040404040442E-2</v>
      </c>
      <c r="G320" s="22">
        <f t="shared" si="19"/>
        <v>-8.7926509186352364E-3</v>
      </c>
      <c r="H320" s="20">
        <f>MAX($B$4:B320)</f>
        <v>124752.53</v>
      </c>
      <c r="I320" s="18">
        <f t="shared" si="16"/>
        <v>0.96763010502909741</v>
      </c>
      <c r="J320" s="19">
        <f>MAX($C$4:C320)</f>
        <v>713.44</v>
      </c>
      <c r="K320" s="18">
        <f>(J320/C320)-1</f>
        <v>0.8180057589888643</v>
      </c>
      <c r="L320">
        <f>MAX($D$4:D320)</f>
        <v>234.86</v>
      </c>
      <c r="M320" s="18">
        <f>(L320/D320)-1</f>
        <v>2.1094929167218326</v>
      </c>
    </row>
    <row r="321" spans="1:13" ht="15.5" x14ac:dyDescent="0.35">
      <c r="A321" s="54">
        <v>46247</v>
      </c>
      <c r="B321" s="21">
        <v>63402.17</v>
      </c>
      <c r="C321" s="15">
        <v>393.51</v>
      </c>
      <c r="D321" s="15">
        <v>76.180000000000007</v>
      </c>
      <c r="E321" s="22">
        <f t="shared" si="17"/>
        <v>-4.1007891968813937E-6</v>
      </c>
      <c r="F321" s="22">
        <f t="shared" si="18"/>
        <v>2.7520831740692753E-3</v>
      </c>
      <c r="G321" s="22">
        <f t="shared" si="19"/>
        <v>8.6058519793459354E-3</v>
      </c>
      <c r="H321" s="20">
        <f>MAX($B$4:B321)</f>
        <v>124752.53</v>
      </c>
      <c r="I321" s="18">
        <f t="shared" si="16"/>
        <v>0.96763817389846429</v>
      </c>
      <c r="J321" s="19">
        <f>MAX($C$4:C321)</f>
        <v>713.44</v>
      </c>
      <c r="K321" s="18">
        <f>(J321/C321)-1</f>
        <v>0.81301618764453276</v>
      </c>
      <c r="L321">
        <f>MAX($D$4:D321)</f>
        <v>234.86</v>
      </c>
      <c r="M321" s="18">
        <f>(L321/D321)-1</f>
        <v>2.0829614071934892</v>
      </c>
    </row>
    <row r="322" spans="1:13" ht="15.5" x14ac:dyDescent="0.35">
      <c r="A322" s="54">
        <v>46248</v>
      </c>
      <c r="B322" s="21">
        <v>62975.59</v>
      </c>
      <c r="C322" s="15">
        <v>399.43</v>
      </c>
      <c r="D322" s="15">
        <v>75.33</v>
      </c>
      <c r="E322" s="22">
        <f t="shared" si="17"/>
        <v>-6.7281608815598082E-3</v>
      </c>
      <c r="F322" s="22">
        <f t="shared" si="18"/>
        <v>1.5044090366191476E-2</v>
      </c>
      <c r="G322" s="22">
        <f t="shared" si="19"/>
        <v>-1.1157784195326981E-2</v>
      </c>
      <c r="H322" s="20">
        <f>MAX($B$4:B322)</f>
        <v>124752.53</v>
      </c>
      <c r="I322" s="18">
        <f t="shared" si="16"/>
        <v>0.98096643477258416</v>
      </c>
      <c r="J322" s="19">
        <f>MAX($C$4:C322)</f>
        <v>713.44</v>
      </c>
      <c r="K322" s="18">
        <f>(J322/C322)-1</f>
        <v>0.78614525699121263</v>
      </c>
      <c r="L322">
        <f>MAX($D$4:D322)</f>
        <v>234.86</v>
      </c>
      <c r="M322" s="18">
        <f>(L322/D322)-1</f>
        <v>2.1177485729457057</v>
      </c>
    </row>
    <row r="323" spans="1:13" ht="15.5" x14ac:dyDescent="0.35">
      <c r="A323" s="54">
        <v>46249</v>
      </c>
      <c r="B323" s="21">
        <v>63024.32</v>
      </c>
      <c r="C323" s="15">
        <v>410.36</v>
      </c>
      <c r="D323" s="15">
        <v>75.27</v>
      </c>
      <c r="E323" s="22">
        <f t="shared" si="17"/>
        <v>7.7379187713844111E-4</v>
      </c>
      <c r="F323" s="22">
        <f t="shared" si="18"/>
        <v>2.7363993691009725E-2</v>
      </c>
      <c r="G323" s="22">
        <f t="shared" si="19"/>
        <v>-7.9649542015136632E-4</v>
      </c>
      <c r="H323" s="20">
        <f>MAX($B$4:B323)</f>
        <v>124752.53</v>
      </c>
      <c r="I323" s="18">
        <f t="shared" si="16"/>
        <v>0.97943476423069686</v>
      </c>
      <c r="J323" s="19">
        <f>MAX($C$4:C323)</f>
        <v>713.44</v>
      </c>
      <c r="K323" s="18">
        <f>(J323/C323)-1</f>
        <v>0.73857101081976806</v>
      </c>
      <c r="L323">
        <f>MAX($D$4:D323)</f>
        <v>234.86</v>
      </c>
      <c r="M323" s="18">
        <f>(L323/D323)-1</f>
        <v>2.1202338248970376</v>
      </c>
    </row>
    <row r="324" spans="1:13" ht="15.5" x14ac:dyDescent="0.35">
      <c r="A324" s="54">
        <v>46250</v>
      </c>
      <c r="B324" s="21">
        <v>62818.65</v>
      </c>
      <c r="C324" s="15">
        <v>409.8</v>
      </c>
      <c r="D324" s="15">
        <v>74.540000000000006</v>
      </c>
      <c r="E324" s="22">
        <f t="shared" si="17"/>
        <v>-3.2633434204446532E-3</v>
      </c>
      <c r="F324" s="22">
        <f t="shared" si="18"/>
        <v>-1.3646554245053677E-3</v>
      </c>
      <c r="G324" s="22">
        <f t="shared" si="19"/>
        <v>-9.6984190248438074E-3</v>
      </c>
      <c r="H324" s="20">
        <f>MAX($B$4:B324)</f>
        <v>124752.53</v>
      </c>
      <c r="I324" s="18">
        <f t="shared" si="16"/>
        <v>0.98591548847356636</v>
      </c>
      <c r="J324" s="19">
        <f>MAX($C$4:C324)</f>
        <v>713.44</v>
      </c>
      <c r="K324" s="18">
        <f>(J324/C324)-1</f>
        <v>0.74094680331869212</v>
      </c>
      <c r="L324">
        <f>MAX($D$4:D324)</f>
        <v>234.86</v>
      </c>
      <c r="M324" s="18">
        <f>(L324/D324)-1</f>
        <v>2.1507915213308291</v>
      </c>
    </row>
    <row r="325" spans="1:13" ht="15.5" x14ac:dyDescent="0.35">
      <c r="A325" s="54">
        <v>46251</v>
      </c>
      <c r="B325" s="21">
        <v>64506.26</v>
      </c>
      <c r="C325" s="15">
        <v>415.66</v>
      </c>
      <c r="D325" s="15">
        <v>75.94</v>
      </c>
      <c r="E325" s="22">
        <f t="shared" si="17"/>
        <v>2.6864792541705373E-2</v>
      </c>
      <c r="F325" s="22">
        <f t="shared" si="18"/>
        <v>1.429965836993663E-2</v>
      </c>
      <c r="G325" s="22">
        <f t="shared" si="19"/>
        <v>1.8781862087469792E-2</v>
      </c>
      <c r="H325" s="20">
        <f>MAX($B$4:B325)</f>
        <v>124752.53</v>
      </c>
      <c r="I325" s="18">
        <f t="shared" ref="I325:I369" si="20">(H325/B325)-1</f>
        <v>0.93396005286928729</v>
      </c>
      <c r="J325" s="19">
        <f>MAX($C$4:C325)</f>
        <v>713.44</v>
      </c>
      <c r="K325" s="18">
        <f>(J325/C325)-1</f>
        <v>0.71640282923543275</v>
      </c>
      <c r="L325">
        <f>MAX($D$4:D325)</f>
        <v>234.86</v>
      </c>
      <c r="M325" s="18">
        <f>(L325/D325)-1</f>
        <v>2.092704766921254</v>
      </c>
    </row>
    <row r="326" spans="1:13" ht="15.5" x14ac:dyDescent="0.35">
      <c r="A326" s="54">
        <v>46252</v>
      </c>
      <c r="B326" s="21">
        <v>64680.71</v>
      </c>
      <c r="C326" s="15">
        <v>412.44</v>
      </c>
      <c r="D326" s="15">
        <v>77.03</v>
      </c>
      <c r="E326" s="22">
        <f t="shared" ref="E326:E369" si="21">(B326/B325)-1</f>
        <v>2.7043886903379555E-3</v>
      </c>
      <c r="F326" s="22">
        <f t="shared" ref="F326:F369" si="22">(C326/C325)-1</f>
        <v>-7.7467160660155132E-3</v>
      </c>
      <c r="G326" s="22">
        <f t="shared" ref="G326:G369" si="23">(D326/D325)-1</f>
        <v>1.4353436923887353E-2</v>
      </c>
      <c r="H326" s="20">
        <f>MAX($B$4:B326)</f>
        <v>124752.53</v>
      </c>
      <c r="I326" s="18">
        <f t="shared" si="20"/>
        <v>0.92874397946466569</v>
      </c>
      <c r="J326" s="19">
        <f>MAX($C$4:C326)</f>
        <v>713.44</v>
      </c>
      <c r="K326" s="18">
        <f>(J326/C326)-1</f>
        <v>0.72980312287847937</v>
      </c>
      <c r="L326">
        <f>MAX($D$4:D326)</f>
        <v>234.86</v>
      </c>
      <c r="M326" s="18">
        <f>(L326/D326)-1</f>
        <v>2.0489419706607817</v>
      </c>
    </row>
    <row r="327" spans="1:13" ht="15.5" x14ac:dyDescent="0.35">
      <c r="A327" s="54">
        <v>46253</v>
      </c>
      <c r="B327" s="21">
        <v>69266.19</v>
      </c>
      <c r="C327" s="15">
        <v>421.97</v>
      </c>
      <c r="D327" s="15">
        <v>85.37</v>
      </c>
      <c r="E327" s="22">
        <f t="shared" si="21"/>
        <v>7.0894088824937196E-2</v>
      </c>
      <c r="F327" s="22">
        <f t="shared" si="22"/>
        <v>2.3106391232664114E-2</v>
      </c>
      <c r="G327" s="22">
        <f t="shared" si="23"/>
        <v>0.10826950538751134</v>
      </c>
      <c r="H327" s="20">
        <f>MAX($B$4:B327)</f>
        <v>124752.53</v>
      </c>
      <c r="I327" s="18">
        <f t="shared" si="20"/>
        <v>0.80105950680988802</v>
      </c>
      <c r="J327" s="19">
        <f>MAX($C$4:C327)</f>
        <v>713.44</v>
      </c>
      <c r="K327" s="18">
        <f>(J327/C327)-1</f>
        <v>0.69073630826836041</v>
      </c>
      <c r="L327">
        <f>MAX($D$4:D327)</f>
        <v>234.86</v>
      </c>
      <c r="M327" s="18">
        <f>(L327/D327)-1</f>
        <v>1.7510835188005154</v>
      </c>
    </row>
    <row r="328" spans="1:13" ht="15.5" x14ac:dyDescent="0.35">
      <c r="A328" s="54">
        <v>46254</v>
      </c>
      <c r="B328" s="21">
        <v>73032.759999999995</v>
      </c>
      <c r="C328" s="15">
        <v>408.69</v>
      </c>
      <c r="D328" s="15">
        <v>87.64</v>
      </c>
      <c r="E328" s="22">
        <f t="shared" si="21"/>
        <v>5.437818941679895E-2</v>
      </c>
      <c r="F328" s="22">
        <f t="shared" si="22"/>
        <v>-3.1471431618361523E-2</v>
      </c>
      <c r="G328" s="22">
        <f t="shared" si="23"/>
        <v>2.6590137050485962E-2</v>
      </c>
      <c r="H328" s="20">
        <f>MAX($B$4:B328)</f>
        <v>124752.53</v>
      </c>
      <c r="I328" s="18">
        <f t="shared" si="20"/>
        <v>0.70817219560098787</v>
      </c>
      <c r="J328" s="19">
        <f>MAX($C$4:C328)</f>
        <v>713.44</v>
      </c>
      <c r="K328" s="18">
        <f>(J328/C328)-1</f>
        <v>0.74567520614646821</v>
      </c>
      <c r="L328">
        <f>MAX($D$4:D328)</f>
        <v>234.86</v>
      </c>
      <c r="M328" s="18">
        <f>(L328/D328)-1</f>
        <v>1.6798265632131448</v>
      </c>
    </row>
    <row r="329" spans="1:13" ht="15.5" x14ac:dyDescent="0.35">
      <c r="A329" s="54">
        <v>46255</v>
      </c>
      <c r="B329" s="21">
        <v>78335.179999999993</v>
      </c>
      <c r="C329" s="15">
        <v>412.13</v>
      </c>
      <c r="D329" s="15">
        <v>93.65</v>
      </c>
      <c r="E329" s="22">
        <f t="shared" si="21"/>
        <v>7.2603308433092151E-2</v>
      </c>
      <c r="F329" s="22">
        <f t="shared" si="22"/>
        <v>8.4171376838191314E-3</v>
      </c>
      <c r="G329" s="22">
        <f t="shared" si="23"/>
        <v>6.8575992697398558E-2</v>
      </c>
      <c r="H329" s="20">
        <f>MAX($B$4:B329)</f>
        <v>124752.53</v>
      </c>
      <c r="I329" s="18">
        <f t="shared" si="20"/>
        <v>0.59254794589097792</v>
      </c>
      <c r="J329" s="19">
        <f>MAX($C$4:C329)</f>
        <v>713.44</v>
      </c>
      <c r="K329" s="18">
        <f>(J329/C329)-1</f>
        <v>0.73110426321791677</v>
      </c>
      <c r="L329">
        <f>MAX($D$4:D329)</f>
        <v>234.86</v>
      </c>
      <c r="M329" s="18">
        <f>(L329/D329)-1</f>
        <v>1.5078483715963693</v>
      </c>
    </row>
    <row r="330" spans="1:13" ht="15.5" x14ac:dyDescent="0.35">
      <c r="A330" s="54">
        <v>46256</v>
      </c>
      <c r="B330" s="21">
        <v>77083.41</v>
      </c>
      <c r="C330" s="15">
        <v>432.58</v>
      </c>
      <c r="D330" s="15">
        <v>93.91</v>
      </c>
      <c r="E330" s="22">
        <f t="shared" si="21"/>
        <v>-1.5979665841069024E-2</v>
      </c>
      <c r="F330" s="22">
        <f t="shared" si="22"/>
        <v>4.9620265450222023E-2</v>
      </c>
      <c r="G330" s="22">
        <f t="shared" si="23"/>
        <v>2.7762947143619154E-3</v>
      </c>
      <c r="H330" s="20">
        <f>MAX($B$4:B330)</f>
        <v>124752.53</v>
      </c>
      <c r="I330" s="18">
        <f t="shared" si="20"/>
        <v>0.61840959033856957</v>
      </c>
      <c r="J330" s="19">
        <f>MAX($C$4:C330)</f>
        <v>713.44</v>
      </c>
      <c r="K330" s="18">
        <f>(J330/C330)-1</f>
        <v>0.64926718757224111</v>
      </c>
      <c r="L330">
        <f>MAX($D$4:D330)</f>
        <v>234.86</v>
      </c>
      <c r="M330" s="18">
        <f>(L330/D330)-1</f>
        <v>1.5009051219252476</v>
      </c>
    </row>
    <row r="331" spans="1:13" ht="15.5" x14ac:dyDescent="0.35">
      <c r="A331" s="54">
        <v>46257</v>
      </c>
      <c r="B331" s="21">
        <v>77755.259999999995</v>
      </c>
      <c r="C331" s="15">
        <v>421.83</v>
      </c>
      <c r="D331" s="15">
        <v>95.44</v>
      </c>
      <c r="E331" s="22">
        <f t="shared" si="21"/>
        <v>8.7158832231213346E-3</v>
      </c>
      <c r="F331" s="22">
        <f t="shared" si="22"/>
        <v>-2.4850894632206799E-2</v>
      </c>
      <c r="G331" s="22">
        <f t="shared" si="23"/>
        <v>1.6292194654456305E-2</v>
      </c>
      <c r="H331" s="20">
        <f>MAX($B$4:B331)</f>
        <v>124752.53</v>
      </c>
      <c r="I331" s="18">
        <f t="shared" si="20"/>
        <v>0.60442560413276225</v>
      </c>
      <c r="J331" s="19">
        <f>MAX($C$4:C331)</f>
        <v>713.44</v>
      </c>
      <c r="K331" s="18">
        <f>(J331/C331)-1</f>
        <v>0.69129744209752753</v>
      </c>
      <c r="L331">
        <f>MAX($D$4:D331)</f>
        <v>234.86</v>
      </c>
      <c r="M331" s="18">
        <f>(L331/D331)-1</f>
        <v>1.4608130762782903</v>
      </c>
    </row>
    <row r="332" spans="1:13" ht="15.5" x14ac:dyDescent="0.35">
      <c r="A332" s="54">
        <v>46258</v>
      </c>
      <c r="B332" s="21">
        <v>78964.479999999996</v>
      </c>
      <c r="C332" s="15">
        <v>441.41</v>
      </c>
      <c r="D332" s="15">
        <v>98.56</v>
      </c>
      <c r="E332" s="22">
        <f t="shared" si="21"/>
        <v>1.5551616700915094E-2</v>
      </c>
      <c r="F332" s="22">
        <f t="shared" si="22"/>
        <v>4.6416802977502947E-2</v>
      </c>
      <c r="G332" s="22">
        <f t="shared" si="23"/>
        <v>3.2690695725063001E-2</v>
      </c>
      <c r="H332" s="20">
        <f>MAX($B$4:B332)</f>
        <v>124752.53</v>
      </c>
      <c r="I332" s="18">
        <f t="shared" si="20"/>
        <v>0.57985628474980144</v>
      </c>
      <c r="J332" s="19">
        <f>MAX($C$4:C332)</f>
        <v>713.44</v>
      </c>
      <c r="K332" s="18">
        <f>(J332/C332)-1</f>
        <v>0.61627511837067583</v>
      </c>
      <c r="L332">
        <f>MAX($D$4:D332)</f>
        <v>234.86</v>
      </c>
      <c r="M332" s="18">
        <f>(L332/D332)-1</f>
        <v>1.3829139610389611</v>
      </c>
    </row>
    <row r="333" spans="1:13" ht="15.5" x14ac:dyDescent="0.35">
      <c r="A333" s="54">
        <v>46259</v>
      </c>
      <c r="B333" s="21">
        <v>78564.98</v>
      </c>
      <c r="C333" s="15">
        <v>439.09</v>
      </c>
      <c r="D333" s="15">
        <v>96.6</v>
      </c>
      <c r="E333" s="22">
        <f t="shared" si="21"/>
        <v>-5.0592367606295818E-3</v>
      </c>
      <c r="F333" s="22">
        <f t="shared" si="22"/>
        <v>-5.25588455177739E-3</v>
      </c>
      <c r="G333" s="22">
        <f t="shared" si="23"/>
        <v>-1.9886363636363757E-2</v>
      </c>
      <c r="H333" s="20">
        <f>MAX($B$4:B333)</f>
        <v>124752.53</v>
      </c>
      <c r="I333" s="18">
        <f t="shared" si="20"/>
        <v>0.58788979517337125</v>
      </c>
      <c r="J333" s="19">
        <f>MAX($C$4:C333)</f>
        <v>713.44</v>
      </c>
      <c r="K333" s="18">
        <f>(J333/C333)-1</f>
        <v>0.62481495820902344</v>
      </c>
      <c r="L333">
        <f>MAX($D$4:D333)</f>
        <v>234.86</v>
      </c>
      <c r="M333" s="18">
        <f>(L333/D333)-1</f>
        <v>1.4312629399585926</v>
      </c>
    </row>
    <row r="334" spans="1:13" ht="15.5" x14ac:dyDescent="0.35">
      <c r="A334" s="54">
        <v>46260</v>
      </c>
      <c r="B334" s="21">
        <v>79027.42</v>
      </c>
      <c r="C334" s="15">
        <v>438.17</v>
      </c>
      <c r="D334" s="15">
        <v>102.17</v>
      </c>
      <c r="E334" s="22">
        <f t="shared" si="21"/>
        <v>5.886083086891869E-3</v>
      </c>
      <c r="F334" s="22">
        <f t="shared" si="22"/>
        <v>-2.0952424332140174E-3</v>
      </c>
      <c r="G334" s="22">
        <f t="shared" si="23"/>
        <v>5.7660455486542528E-2</v>
      </c>
      <c r="H334" s="20">
        <f>MAX($B$4:B334)</f>
        <v>124752.53</v>
      </c>
      <c r="I334" s="18">
        <f t="shared" si="20"/>
        <v>0.57859803597283066</v>
      </c>
      <c r="J334" s="19">
        <f>MAX($C$4:C334)</f>
        <v>713.44</v>
      </c>
      <c r="K334" s="18">
        <f>(J334/C334)-1</f>
        <v>0.62822648743638321</v>
      </c>
      <c r="L334">
        <f>MAX($D$4:D334)</f>
        <v>234.86</v>
      </c>
      <c r="M334" s="18">
        <f>(L334/D334)-1</f>
        <v>1.2987178232357834</v>
      </c>
    </row>
    <row r="335" spans="1:13" ht="15.5" x14ac:dyDescent="0.35">
      <c r="A335" s="54">
        <v>46261</v>
      </c>
      <c r="B335" s="21">
        <v>80257.539999999994</v>
      </c>
      <c r="C335" s="15">
        <v>454.93</v>
      </c>
      <c r="D335" s="15">
        <v>109.21</v>
      </c>
      <c r="E335" s="22">
        <f t="shared" si="21"/>
        <v>1.556573655068072E-2</v>
      </c>
      <c r="F335" s="22">
        <f t="shared" si="22"/>
        <v>3.8249994294451861E-2</v>
      </c>
      <c r="G335" s="22">
        <f t="shared" si="23"/>
        <v>6.8904766565528019E-2</v>
      </c>
      <c r="H335" s="20">
        <f>MAX($B$4:B335)</f>
        <v>124752.53</v>
      </c>
      <c r="I335" s="18">
        <f t="shared" si="20"/>
        <v>0.55440261438364558</v>
      </c>
      <c r="J335" s="19">
        <f>MAX($C$4:C335)</f>
        <v>713.44</v>
      </c>
      <c r="K335" s="18">
        <f>(J335/C335)-1</f>
        <v>0.5682412678873674</v>
      </c>
      <c r="L335">
        <f>MAX($D$4:D335)</f>
        <v>234.86</v>
      </c>
      <c r="M335" s="18">
        <f>(L335/D335)-1</f>
        <v>1.1505356652321219</v>
      </c>
    </row>
    <row r="336" spans="1:13" ht="15.5" x14ac:dyDescent="0.35">
      <c r="A336" s="54">
        <v>46262</v>
      </c>
      <c r="B336" s="21">
        <v>77830.289999999994</v>
      </c>
      <c r="C336" s="15">
        <v>471.94</v>
      </c>
      <c r="D336" s="15">
        <v>104.13</v>
      </c>
      <c r="E336" s="22">
        <f t="shared" si="21"/>
        <v>-3.0243264371173084E-2</v>
      </c>
      <c r="F336" s="22">
        <f t="shared" si="22"/>
        <v>3.739036774888449E-2</v>
      </c>
      <c r="G336" s="22">
        <f t="shared" si="23"/>
        <v>-4.65158868235509E-2</v>
      </c>
      <c r="H336" s="20">
        <f>MAX($B$4:B336)</f>
        <v>124752.53</v>
      </c>
      <c r="I336" s="18">
        <f t="shared" si="20"/>
        <v>0.60287890485825013</v>
      </c>
      <c r="J336" s="19">
        <f>MAX($C$4:C336)</f>
        <v>713.44</v>
      </c>
      <c r="K336" s="18">
        <f>(J336/C336)-1</f>
        <v>0.51171759121922289</v>
      </c>
      <c r="L336">
        <f>MAX($D$4:D336)</f>
        <v>234.86</v>
      </c>
      <c r="M336" s="18">
        <f>(L336/D336)-1</f>
        <v>1.2554499183712671</v>
      </c>
    </row>
    <row r="337" spans="1:13" ht="15.5" x14ac:dyDescent="0.35">
      <c r="A337" s="54">
        <v>46263</v>
      </c>
      <c r="B337" s="21">
        <v>78245.81</v>
      </c>
      <c r="C337" s="15">
        <v>470.72</v>
      </c>
      <c r="D337" s="15">
        <v>105.65</v>
      </c>
      <c r="E337" s="22">
        <f t="shared" si="21"/>
        <v>5.3387954741015431E-3</v>
      </c>
      <c r="F337" s="22">
        <f t="shared" si="22"/>
        <v>-2.5850743738610182E-3</v>
      </c>
      <c r="G337" s="22">
        <f t="shared" si="23"/>
        <v>1.4597138192643966E-2</v>
      </c>
      <c r="H337" s="20">
        <f>MAX($B$4:B337)</f>
        <v>124752.53</v>
      </c>
      <c r="I337" s="18">
        <f t="shared" si="20"/>
        <v>0.59436690603624664</v>
      </c>
      <c r="J337" s="19">
        <f>MAX($C$4:C337)</f>
        <v>713.44</v>
      </c>
      <c r="K337" s="18">
        <f>(J337/C337)-1</f>
        <v>0.51563562202583269</v>
      </c>
      <c r="L337">
        <f>MAX($D$4:D337)</f>
        <v>234.86</v>
      </c>
      <c r="M337" s="18">
        <f>(L337/D337)-1</f>
        <v>1.2230004732607669</v>
      </c>
    </row>
    <row r="338" spans="1:13" ht="15.5" x14ac:dyDescent="0.35">
      <c r="A338" s="54">
        <v>46264</v>
      </c>
      <c r="B338" s="21">
        <v>77667.570000000007</v>
      </c>
      <c r="C338" s="15">
        <v>486.08</v>
      </c>
      <c r="D338" s="15">
        <v>101.88</v>
      </c>
      <c r="E338" s="22">
        <f t="shared" si="21"/>
        <v>-7.3900442720190584E-3</v>
      </c>
      <c r="F338" s="22">
        <f t="shared" si="22"/>
        <v>3.2630863358259488E-2</v>
      </c>
      <c r="G338" s="22">
        <f t="shared" si="23"/>
        <v>-3.568386180785621E-2</v>
      </c>
      <c r="H338" s="20">
        <f>MAX($B$4:B338)</f>
        <v>124752.53</v>
      </c>
      <c r="I338" s="18">
        <f t="shared" si="20"/>
        <v>0.60623706908816621</v>
      </c>
      <c r="J338" s="19">
        <f>MAX($C$4:C338)</f>
        <v>713.44</v>
      </c>
      <c r="K338" s="18">
        <f>(J338/C338)-1</f>
        <v>0.46774193548387122</v>
      </c>
      <c r="L338">
        <f>MAX($D$4:D338)</f>
        <v>234.86</v>
      </c>
      <c r="M338" s="18">
        <f>(L338/D338)-1</f>
        <v>1.305261091480173</v>
      </c>
    </row>
    <row r="339" spans="1:13" ht="15.5" x14ac:dyDescent="0.35">
      <c r="A339" s="54">
        <v>46265</v>
      </c>
      <c r="B339" s="21">
        <v>78548.63</v>
      </c>
      <c r="C339" s="15">
        <v>517.64</v>
      </c>
      <c r="D339" s="15">
        <v>103</v>
      </c>
      <c r="E339" s="22">
        <f t="shared" si="21"/>
        <v>1.1343988230866575E-2</v>
      </c>
      <c r="F339" s="22">
        <f t="shared" si="22"/>
        <v>6.4927583936800426E-2</v>
      </c>
      <c r="G339" s="22">
        <f t="shared" si="23"/>
        <v>1.0993325480957994E-2</v>
      </c>
      <c r="H339" s="20">
        <f>MAX($B$4:B339)</f>
        <v>124752.53</v>
      </c>
      <c r="I339" s="18">
        <f t="shared" si="20"/>
        <v>0.58822031650965756</v>
      </c>
      <c r="J339" s="19">
        <f>MAX($C$4:C339)</f>
        <v>713.44</v>
      </c>
      <c r="K339" s="18">
        <f>(J339/C339)-1</f>
        <v>0.3782551580248823</v>
      </c>
      <c r="L339">
        <f>MAX($D$4:D339)</f>
        <v>234.86</v>
      </c>
      <c r="M339" s="18">
        <f>(L339/D339)-1</f>
        <v>1.2801941747572818</v>
      </c>
    </row>
    <row r="340" spans="1:13" ht="15.5" x14ac:dyDescent="0.35">
      <c r="A340" s="54">
        <v>46266</v>
      </c>
      <c r="B340" s="21">
        <v>77403.62</v>
      </c>
      <c r="C340" s="15">
        <v>504.49</v>
      </c>
      <c r="D340" s="15">
        <v>99.99</v>
      </c>
      <c r="E340" s="22">
        <f t="shared" si="21"/>
        <v>-1.4577084285238406E-2</v>
      </c>
      <c r="F340" s="22">
        <f t="shared" si="22"/>
        <v>-2.5403755505756909E-2</v>
      </c>
      <c r="G340" s="22">
        <f t="shared" si="23"/>
        <v>-2.9223300970873889E-2</v>
      </c>
      <c r="H340" s="20">
        <f>MAX($B$4:B340)</f>
        <v>124752.53</v>
      </c>
      <c r="I340" s="18">
        <f t="shared" si="20"/>
        <v>0.6117144133568948</v>
      </c>
      <c r="J340" s="19">
        <f>MAX($C$4:C340)</f>
        <v>713.44</v>
      </c>
      <c r="K340" s="18">
        <f>(J340/C340)-1</f>
        <v>0.41418065769390888</v>
      </c>
      <c r="L340">
        <f>MAX($D$4:D340)</f>
        <v>234.86</v>
      </c>
      <c r="M340" s="18">
        <f>(L340/D340)-1</f>
        <v>1.3488348834883492</v>
      </c>
    </row>
    <row r="341" spans="1:13" ht="15.5" x14ac:dyDescent="0.35">
      <c r="A341" s="54">
        <v>46267</v>
      </c>
      <c r="B341" s="21">
        <v>77300.479999999996</v>
      </c>
      <c r="C341" s="15">
        <v>495.34</v>
      </c>
      <c r="D341" s="15">
        <v>100.39</v>
      </c>
      <c r="E341" s="22">
        <f t="shared" si="21"/>
        <v>-1.332495818671009E-3</v>
      </c>
      <c r="F341" s="22">
        <f t="shared" si="22"/>
        <v>-1.813712858530403E-2</v>
      </c>
      <c r="G341" s="22">
        <f t="shared" si="23"/>
        <v>4.0004000400040152E-3</v>
      </c>
      <c r="H341" s="20">
        <f>MAX($B$4:B341)</f>
        <v>124752.53</v>
      </c>
      <c r="I341" s="18">
        <f t="shared" si="20"/>
        <v>0.61386488156347818</v>
      </c>
      <c r="J341" s="19">
        <f>MAX($C$4:C341)</f>
        <v>713.44</v>
      </c>
      <c r="K341" s="18">
        <f>(J341/C341)-1</f>
        <v>0.44030362983001603</v>
      </c>
      <c r="L341">
        <f>MAX($D$4:D341)</f>
        <v>234.86</v>
      </c>
      <c r="M341" s="18">
        <f>(L341/D341)-1</f>
        <v>1.3394760434306208</v>
      </c>
    </row>
    <row r="342" spans="1:13" ht="15.5" x14ac:dyDescent="0.35">
      <c r="A342" s="54">
        <v>46268</v>
      </c>
      <c r="B342" s="21">
        <v>81271.75</v>
      </c>
      <c r="C342" s="15">
        <v>520.80999999999995</v>
      </c>
      <c r="D342" s="15">
        <v>103.98</v>
      </c>
      <c r="E342" s="22">
        <f t="shared" si="21"/>
        <v>5.1374454595883634E-2</v>
      </c>
      <c r="F342" s="22">
        <f t="shared" si="22"/>
        <v>5.1419227197480488E-2</v>
      </c>
      <c r="G342" s="22">
        <f t="shared" si="23"/>
        <v>3.5760533917720938E-2</v>
      </c>
      <c r="H342" s="20">
        <f>MAX($B$4:B342)</f>
        <v>124752.53</v>
      </c>
      <c r="I342" s="18">
        <f t="shared" si="20"/>
        <v>0.53500484485691513</v>
      </c>
      <c r="J342" s="19">
        <f>MAX($C$4:C342)</f>
        <v>713.44</v>
      </c>
      <c r="K342" s="18">
        <f>(J342/C342)-1</f>
        <v>0.36986617000441635</v>
      </c>
      <c r="L342">
        <f>MAX($D$4:D342)</f>
        <v>234.86</v>
      </c>
      <c r="M342" s="18">
        <f>(L342/D342)-1</f>
        <v>1.2587035968455473</v>
      </c>
    </row>
    <row r="343" spans="1:13" ht="15.5" x14ac:dyDescent="0.35">
      <c r="A343" s="54">
        <v>46269</v>
      </c>
      <c r="B343" s="21">
        <v>79671.97</v>
      </c>
      <c r="C343" s="15">
        <v>521.13</v>
      </c>
      <c r="D343" s="15">
        <v>101.95</v>
      </c>
      <c r="E343" s="22">
        <f t="shared" si="21"/>
        <v>-1.9684330656101312E-2</v>
      </c>
      <c r="F343" s="22">
        <f t="shared" si="22"/>
        <v>6.1442752635332276E-4</v>
      </c>
      <c r="G343" s="22">
        <f t="shared" si="23"/>
        <v>-1.9522985189459496E-2</v>
      </c>
      <c r="H343" s="20">
        <f>MAX($B$4:B343)</f>
        <v>124752.53</v>
      </c>
      <c r="I343" s="18">
        <f t="shared" si="20"/>
        <v>0.56582710330872943</v>
      </c>
      <c r="J343" s="19">
        <f>MAX($C$4:C343)</f>
        <v>713.44</v>
      </c>
      <c r="K343" s="18">
        <f>(J343/C343)-1</f>
        <v>0.3690250033580873</v>
      </c>
      <c r="L343">
        <f>MAX($D$4:D343)</f>
        <v>234.86</v>
      </c>
      <c r="M343" s="18">
        <f>(L343/D343)-1</f>
        <v>1.3036782736635608</v>
      </c>
    </row>
    <row r="344" spans="1:13" ht="15.5" x14ac:dyDescent="0.35">
      <c r="A344" s="54">
        <v>46270</v>
      </c>
      <c r="B344" s="21">
        <v>79823.87</v>
      </c>
      <c r="C344" s="15">
        <v>553.79999999999995</v>
      </c>
      <c r="D344" s="15">
        <v>103.19</v>
      </c>
      <c r="E344" s="22">
        <f t="shared" si="21"/>
        <v>1.9065676422962419E-3</v>
      </c>
      <c r="F344" s="22">
        <f t="shared" si="22"/>
        <v>6.2690691382188524E-2</v>
      </c>
      <c r="G344" s="22">
        <f t="shared" si="23"/>
        <v>1.2162824914173642E-2</v>
      </c>
      <c r="H344" s="20">
        <f>MAX($B$4:B344)</f>
        <v>124752.53</v>
      </c>
      <c r="I344" s="18">
        <f t="shared" si="20"/>
        <v>0.56284742897080786</v>
      </c>
      <c r="J344" s="19">
        <f>MAX($C$4:C344)</f>
        <v>713.44</v>
      </c>
      <c r="K344" s="18">
        <f>(J344/C344)-1</f>
        <v>0.28826291079812227</v>
      </c>
      <c r="L344">
        <f>MAX($D$4:D344)</f>
        <v>234.86</v>
      </c>
      <c r="M344" s="18">
        <f>(L344/D344)-1</f>
        <v>1.2759957360209326</v>
      </c>
    </row>
    <row r="345" spans="1:13" ht="15.5" x14ac:dyDescent="0.35">
      <c r="A345" s="54">
        <v>46271</v>
      </c>
      <c r="B345" s="21">
        <v>80350.039999999994</v>
      </c>
      <c r="C345" s="15">
        <v>539.6</v>
      </c>
      <c r="D345" s="15">
        <v>106.45</v>
      </c>
      <c r="E345" s="22">
        <f t="shared" si="21"/>
        <v>6.5916373135002093E-3</v>
      </c>
      <c r="F345" s="22">
        <f t="shared" si="22"/>
        <v>-2.564102564102555E-2</v>
      </c>
      <c r="G345" s="22">
        <f t="shared" si="23"/>
        <v>3.1592208547339906E-2</v>
      </c>
      <c r="H345" s="20">
        <f>MAX($B$4:B345)</f>
        <v>124752.53</v>
      </c>
      <c r="I345" s="18">
        <f t="shared" si="20"/>
        <v>0.5526131660917657</v>
      </c>
      <c r="J345" s="19">
        <f>MAX($C$4:C345)</f>
        <v>713.44</v>
      </c>
      <c r="K345" s="18">
        <f>(J345/C345)-1</f>
        <v>0.32216456634544111</v>
      </c>
      <c r="L345">
        <f>MAX($D$4:D345)</f>
        <v>234.86</v>
      </c>
      <c r="M345" s="18">
        <f>(L345/D345)-1</f>
        <v>1.2062940347581024</v>
      </c>
    </row>
    <row r="346" spans="1:13" ht="15.5" x14ac:dyDescent="0.35">
      <c r="A346" s="54">
        <v>46272</v>
      </c>
      <c r="B346" s="21">
        <v>79115.850000000006</v>
      </c>
      <c r="C346" s="15">
        <v>519.70000000000005</v>
      </c>
      <c r="D346" s="15">
        <v>103.87</v>
      </c>
      <c r="E346" s="22">
        <f t="shared" si="21"/>
        <v>-1.5360166591080526E-2</v>
      </c>
      <c r="F346" s="22">
        <f t="shared" si="22"/>
        <v>-3.6879169755374308E-2</v>
      </c>
      <c r="G346" s="22">
        <f t="shared" si="23"/>
        <v>-2.4236730859558464E-2</v>
      </c>
      <c r="H346" s="20">
        <f>MAX($B$4:B346)</f>
        <v>124752.53</v>
      </c>
      <c r="I346" s="18">
        <f t="shared" si="20"/>
        <v>0.57683359276301771</v>
      </c>
      <c r="J346" s="19">
        <f>MAX($C$4:C346)</f>
        <v>713.44</v>
      </c>
      <c r="K346" s="18">
        <f>(J346/C346)-1</f>
        <v>0.37279199538195118</v>
      </c>
      <c r="L346">
        <f>MAX($D$4:D346)</f>
        <v>234.86</v>
      </c>
      <c r="M346" s="18">
        <f>(L346/D346)-1</f>
        <v>1.2610956002695679</v>
      </c>
    </row>
    <row r="347" spans="1:13" ht="15.5" x14ac:dyDescent="0.35">
      <c r="A347" s="54">
        <v>46273</v>
      </c>
      <c r="B347" s="21">
        <v>78438.58</v>
      </c>
      <c r="C347" s="15">
        <v>500.08</v>
      </c>
      <c r="D347" s="15">
        <v>103.33</v>
      </c>
      <c r="E347" s="22">
        <f t="shared" si="21"/>
        <v>-8.5604844035677141E-3</v>
      </c>
      <c r="F347" s="22">
        <f t="shared" si="22"/>
        <v>-3.775254954781615E-2</v>
      </c>
      <c r="G347" s="22">
        <f t="shared" si="23"/>
        <v>-5.1988062000578594E-3</v>
      </c>
      <c r="H347" s="20">
        <f>MAX($B$4:B347)</f>
        <v>124752.53</v>
      </c>
      <c r="I347" s="18">
        <f t="shared" si="20"/>
        <v>0.59044860322560644</v>
      </c>
      <c r="J347" s="19">
        <f>MAX($C$4:C347)</f>
        <v>713.44</v>
      </c>
      <c r="K347" s="18">
        <f>(J347/C347)-1</f>
        <v>0.42665173572228454</v>
      </c>
      <c r="L347">
        <f>MAX($D$4:D347)</f>
        <v>234.86</v>
      </c>
      <c r="M347" s="18">
        <f>(L347/D347)-1</f>
        <v>1.2729120294203042</v>
      </c>
    </row>
    <row r="348" spans="1:13" ht="15.5" x14ac:dyDescent="0.35">
      <c r="A348" s="54">
        <v>46274</v>
      </c>
      <c r="B348" s="21">
        <v>78259.520000000004</v>
      </c>
      <c r="C348" s="15">
        <v>512.02</v>
      </c>
      <c r="D348" s="15">
        <v>101.61</v>
      </c>
      <c r="E348" s="22">
        <f t="shared" si="21"/>
        <v>-2.2828052216141703E-3</v>
      </c>
      <c r="F348" s="22">
        <f t="shared" si="22"/>
        <v>2.3876179811230136E-2</v>
      </c>
      <c r="G348" s="22">
        <f t="shared" si="23"/>
        <v>-1.664569824833062E-2</v>
      </c>
      <c r="H348" s="20">
        <f>MAX($B$4:B348)</f>
        <v>124752.53</v>
      </c>
      <c r="I348" s="18">
        <f t="shared" si="20"/>
        <v>0.59408759471052197</v>
      </c>
      <c r="J348" s="19">
        <f>MAX($C$4:C348)</f>
        <v>713.44</v>
      </c>
      <c r="K348" s="18">
        <f>(J348/C348)-1</f>
        <v>0.39338307097379022</v>
      </c>
      <c r="L348">
        <f>MAX($D$4:D348)</f>
        <v>234.86</v>
      </c>
      <c r="M348" s="18">
        <f>(L348/D348)-1</f>
        <v>1.3113866745399076</v>
      </c>
    </row>
    <row r="349" spans="1:13" ht="15.5" x14ac:dyDescent="0.35">
      <c r="A349" s="54">
        <v>46275</v>
      </c>
      <c r="B349" s="21">
        <v>76568.12</v>
      </c>
      <c r="C349" s="15">
        <v>508.07</v>
      </c>
      <c r="D349" s="15">
        <v>98.69</v>
      </c>
      <c r="E349" s="22">
        <f t="shared" si="21"/>
        <v>-2.161270603244192E-2</v>
      </c>
      <c r="F349" s="22">
        <f t="shared" si="22"/>
        <v>-7.7145424006874741E-3</v>
      </c>
      <c r="G349" s="22">
        <f t="shared" si="23"/>
        <v>-2.8737329003050927E-2</v>
      </c>
      <c r="H349" s="20">
        <f>MAX($B$4:B349)</f>
        <v>124752.53</v>
      </c>
      <c r="I349" s="18">
        <f t="shared" si="20"/>
        <v>0.62930120264151723</v>
      </c>
      <c r="J349" s="19">
        <f>MAX($C$4:C349)</f>
        <v>713.44</v>
      </c>
      <c r="K349" s="18">
        <f>(J349/C349)-1</f>
        <v>0.40421595449445946</v>
      </c>
      <c r="L349">
        <f>MAX($D$4:D349)</f>
        <v>234.86</v>
      </c>
      <c r="M349" s="18">
        <f>(L349/D349)-1</f>
        <v>1.3797750531968793</v>
      </c>
    </row>
    <row r="350" spans="1:13" ht="15.5" x14ac:dyDescent="0.35">
      <c r="A350" s="54">
        <v>46276</v>
      </c>
      <c r="B350" s="21">
        <v>77173.789999999994</v>
      </c>
      <c r="C350" s="15">
        <v>521.28</v>
      </c>
      <c r="D350" s="15">
        <v>102.4</v>
      </c>
      <c r="E350" s="22">
        <f t="shared" si="21"/>
        <v>7.9102111949462817E-3</v>
      </c>
      <c r="F350" s="22">
        <f t="shared" si="22"/>
        <v>2.6000354281890292E-2</v>
      </c>
      <c r="G350" s="22">
        <f t="shared" si="23"/>
        <v>3.7592461242273778E-2</v>
      </c>
      <c r="H350" s="20">
        <f>MAX($B$4:B350)</f>
        <v>124752.53</v>
      </c>
      <c r="I350" s="18">
        <f t="shared" si="20"/>
        <v>0.61651423365367974</v>
      </c>
      <c r="J350" s="19">
        <f>MAX($C$4:C350)</f>
        <v>713.44</v>
      </c>
      <c r="K350" s="18">
        <f>(J350/C350)-1</f>
        <v>0.36863106200122786</v>
      </c>
      <c r="L350">
        <f>MAX($D$4:D350)</f>
        <v>234.86</v>
      </c>
      <c r="M350" s="18">
        <f>(L350/D350)-1</f>
        <v>1.2935546874999999</v>
      </c>
    </row>
    <row r="351" spans="1:13" ht="15.5" x14ac:dyDescent="0.35">
      <c r="A351" s="54">
        <v>46277</v>
      </c>
      <c r="B351" s="21">
        <v>77270.47</v>
      </c>
      <c r="C351" s="15">
        <v>539.09</v>
      </c>
      <c r="D351" s="15">
        <v>101.79</v>
      </c>
      <c r="E351" s="22">
        <f t="shared" si="21"/>
        <v>1.2527569269309424E-3</v>
      </c>
      <c r="F351" s="22">
        <f t="shared" si="22"/>
        <v>3.4165899324739124E-2</v>
      </c>
      <c r="G351" s="22">
        <f t="shared" si="23"/>
        <v>-5.9570312500000222E-3</v>
      </c>
      <c r="H351" s="20">
        <f>MAX($B$4:B351)</f>
        <v>124752.53</v>
      </c>
      <c r="I351" s="18">
        <f t="shared" si="20"/>
        <v>0.6144916680330792</v>
      </c>
      <c r="J351" s="19">
        <f>MAX($C$4:C351)</f>
        <v>713.44</v>
      </c>
      <c r="K351" s="18">
        <f>(J351/C351)-1</f>
        <v>0.32341538518614699</v>
      </c>
      <c r="L351">
        <f>MAX($D$4:D351)</f>
        <v>234.86</v>
      </c>
      <c r="M351" s="18">
        <f>(L351/D351)-1</f>
        <v>1.3072993417821004</v>
      </c>
    </row>
    <row r="352" spans="1:13" ht="15.5" x14ac:dyDescent="0.35">
      <c r="A352" s="54">
        <v>46278</v>
      </c>
      <c r="B352" s="21">
        <v>76838.16</v>
      </c>
      <c r="C352" s="15">
        <v>518.12</v>
      </c>
      <c r="D352" s="15">
        <v>99.25</v>
      </c>
      <c r="E352" s="22">
        <f t="shared" si="21"/>
        <v>-5.5947634329129858E-3</v>
      </c>
      <c r="F352" s="22">
        <f t="shared" si="22"/>
        <v>-3.8898885158322405E-2</v>
      </c>
      <c r="G352" s="22">
        <f t="shared" si="23"/>
        <v>-2.4953335298162904E-2</v>
      </c>
      <c r="H352" s="20">
        <f>MAX($B$4:B352)</f>
        <v>124752.53</v>
      </c>
      <c r="I352" s="18">
        <f t="shared" si="20"/>
        <v>0.62357518712056614</v>
      </c>
      <c r="J352" s="19">
        <f>MAX($C$4:C352)</f>
        <v>713.44</v>
      </c>
      <c r="K352" s="18">
        <f>(J352/C352)-1</f>
        <v>0.37697830618389561</v>
      </c>
      <c r="L352">
        <f>MAX($D$4:D352)</f>
        <v>234.86</v>
      </c>
      <c r="M352" s="18">
        <f>(L352/D352)-1</f>
        <v>1.366347607052897</v>
      </c>
    </row>
    <row r="353" spans="1:13" ht="15.5" x14ac:dyDescent="0.35">
      <c r="A353" s="54">
        <v>46279</v>
      </c>
      <c r="B353" s="21">
        <v>78163.38</v>
      </c>
      <c r="C353" s="15">
        <v>512.89</v>
      </c>
      <c r="D353" s="15">
        <v>102.5</v>
      </c>
      <c r="E353" s="22">
        <f t="shared" si="21"/>
        <v>1.7246899196961429E-2</v>
      </c>
      <c r="F353" s="22">
        <f t="shared" si="22"/>
        <v>-1.0094186674901584E-2</v>
      </c>
      <c r="G353" s="22">
        <f t="shared" si="23"/>
        <v>3.2745591939546514E-2</v>
      </c>
      <c r="H353" s="20">
        <f>MAX($B$4:B353)</f>
        <v>124752.53</v>
      </c>
      <c r="I353" s="18">
        <f t="shared" si="20"/>
        <v>0.5960483029265109</v>
      </c>
      <c r="J353" s="19">
        <f>MAX($C$4:C353)</f>
        <v>713.44</v>
      </c>
      <c r="K353" s="18">
        <f>(J353/C353)-1</f>
        <v>0.39101951685546621</v>
      </c>
      <c r="L353">
        <f>MAX($D$4:D353)</f>
        <v>234.86</v>
      </c>
      <c r="M353" s="18">
        <f>(L353/D353)-1</f>
        <v>1.291317073170732</v>
      </c>
    </row>
    <row r="354" spans="1:13" ht="15.5" x14ac:dyDescent="0.35">
      <c r="A354" s="54">
        <v>46280</v>
      </c>
      <c r="B354" s="21">
        <v>75612.509999999995</v>
      </c>
      <c r="C354" s="15">
        <v>505.88</v>
      </c>
      <c r="D354" s="15">
        <v>96.89</v>
      </c>
      <c r="E354" s="22">
        <f t="shared" si="21"/>
        <v>-3.2635103548490529E-2</v>
      </c>
      <c r="F354" s="22">
        <f t="shared" si="22"/>
        <v>-1.3667648033691471E-2</v>
      </c>
      <c r="G354" s="22">
        <f t="shared" si="23"/>
        <v>-5.4731707317073219E-2</v>
      </c>
      <c r="H354" s="20">
        <f>MAX($B$4:B354)</f>
        <v>124752.53</v>
      </c>
      <c r="I354" s="18">
        <f t="shared" si="20"/>
        <v>0.64989272277828114</v>
      </c>
      <c r="J354" s="19">
        <f>MAX($C$4:C354)</f>
        <v>713.44</v>
      </c>
      <c r="K354" s="18">
        <f>(J354/C354)-1</f>
        <v>0.41029493160433317</v>
      </c>
      <c r="L354">
        <f>MAX($D$4:D354)</f>
        <v>234.86</v>
      </c>
      <c r="M354" s="18">
        <f>(L354/D354)-1</f>
        <v>1.4239859634637217</v>
      </c>
    </row>
    <row r="355" spans="1:13" ht="15.5" x14ac:dyDescent="0.35">
      <c r="A355" s="54">
        <v>46281</v>
      </c>
      <c r="B355" s="21">
        <v>76150.320000000007</v>
      </c>
      <c r="C355" s="15">
        <v>497.88</v>
      </c>
      <c r="D355" s="15">
        <v>98.64</v>
      </c>
      <c r="E355" s="22">
        <f t="shared" si="21"/>
        <v>7.1127119044192E-3</v>
      </c>
      <c r="F355" s="22">
        <f t="shared" si="22"/>
        <v>-1.5814027041986201E-2</v>
      </c>
      <c r="G355" s="22">
        <f t="shared" si="23"/>
        <v>1.8061719475694016E-2</v>
      </c>
      <c r="H355" s="20">
        <f>MAX($B$4:B355)</f>
        <v>124752.53</v>
      </c>
      <c r="I355" s="18">
        <f t="shared" si="20"/>
        <v>0.63824039084799633</v>
      </c>
      <c r="J355" s="19">
        <f>MAX($C$4:C355)</f>
        <v>713.44</v>
      </c>
      <c r="K355" s="18">
        <f>(J355/C355)-1</f>
        <v>0.43295573230497331</v>
      </c>
      <c r="L355">
        <f>MAX($D$4:D355)</f>
        <v>234.86</v>
      </c>
      <c r="M355" s="18">
        <f>(L355/D355)-1</f>
        <v>1.3809813463098135</v>
      </c>
    </row>
    <row r="356" spans="1:13" ht="15.5" x14ac:dyDescent="0.35">
      <c r="A356" s="54">
        <v>46282</v>
      </c>
      <c r="B356" s="21">
        <v>76403.78</v>
      </c>
      <c r="C356" s="15">
        <v>517.58000000000004</v>
      </c>
      <c r="D356" s="15">
        <v>101.6</v>
      </c>
      <c r="E356" s="22">
        <f t="shared" si="21"/>
        <v>3.3284167420437605E-3</v>
      </c>
      <c r="F356" s="22">
        <f t="shared" si="22"/>
        <v>3.9567767333494208E-2</v>
      </c>
      <c r="G356" s="22">
        <f t="shared" si="23"/>
        <v>3.0008110300081103E-2</v>
      </c>
      <c r="H356" s="20">
        <f>MAX($B$4:B356)</f>
        <v>124752.53</v>
      </c>
      <c r="I356" s="18">
        <f t="shared" si="20"/>
        <v>0.63280573291007336</v>
      </c>
      <c r="J356" s="19">
        <f>MAX($C$4:C356)</f>
        <v>713.44</v>
      </c>
      <c r="K356" s="18">
        <f>(J356/C356)-1</f>
        <v>0.37841493102515544</v>
      </c>
      <c r="L356">
        <f>MAX($D$4:D356)</f>
        <v>234.86</v>
      </c>
      <c r="M356" s="18">
        <f>(L356/D356)-1</f>
        <v>1.3116141732283468</v>
      </c>
    </row>
    <row r="357" spans="1:13" ht="15.5" x14ac:dyDescent="0.35">
      <c r="A357" s="54">
        <v>46283</v>
      </c>
      <c r="B357" s="21">
        <v>80901.460000000006</v>
      </c>
      <c r="C357" s="15">
        <v>563.45000000000005</v>
      </c>
      <c r="D357" s="15">
        <v>112.6</v>
      </c>
      <c r="E357" s="22">
        <f t="shared" si="21"/>
        <v>5.8867244526383589E-2</v>
      </c>
      <c r="F357" s="22">
        <f t="shared" si="22"/>
        <v>8.8623980833880678E-2</v>
      </c>
      <c r="G357" s="22">
        <f t="shared" si="23"/>
        <v>0.1082677165354331</v>
      </c>
      <c r="H357" s="20">
        <f>MAX($B$4:B357)</f>
        <v>124752.53</v>
      </c>
      <c r="I357" s="18">
        <f t="shared" si="20"/>
        <v>0.54203063826042186</v>
      </c>
      <c r="J357" s="19">
        <f>MAX($C$4:C357)</f>
        <v>713.44</v>
      </c>
      <c r="K357" s="18">
        <f>(J357/C357)-1</f>
        <v>0.26619930783565526</v>
      </c>
      <c r="L357">
        <f>MAX($D$4:D357)</f>
        <v>234.86</v>
      </c>
      <c r="M357" s="18">
        <f>(L357/D357)-1</f>
        <v>1.0857904085257553</v>
      </c>
    </row>
    <row r="358" spans="1:13" ht="15.5" x14ac:dyDescent="0.35">
      <c r="A358" s="54">
        <v>46284</v>
      </c>
      <c r="B358" s="21">
        <v>81233.679999999993</v>
      </c>
      <c r="C358" s="15">
        <v>546.73</v>
      </c>
      <c r="D358" s="15">
        <v>111.01</v>
      </c>
      <c r="E358" s="22">
        <f t="shared" si="21"/>
        <v>4.1064771884213869E-3</v>
      </c>
      <c r="F358" s="22">
        <f t="shared" si="22"/>
        <v>-2.9674327801934575E-2</v>
      </c>
      <c r="G358" s="22">
        <f t="shared" si="23"/>
        <v>-1.4120781527530935E-2</v>
      </c>
      <c r="H358" s="20">
        <f>MAX($B$4:B358)</f>
        <v>124752.53</v>
      </c>
      <c r="I358" s="18">
        <f t="shared" si="20"/>
        <v>0.53572422177599255</v>
      </c>
      <c r="J358" s="19">
        <f>MAX($C$4:C358)</f>
        <v>713.44</v>
      </c>
      <c r="K358" s="18">
        <f>(J358/C358)-1</f>
        <v>0.30492199074497472</v>
      </c>
      <c r="L358">
        <f>MAX($D$4:D358)</f>
        <v>234.86</v>
      </c>
      <c r="M358" s="18">
        <f>(L358/D358)-1</f>
        <v>1.1156652553823978</v>
      </c>
    </row>
    <row r="359" spans="1:13" ht="15.5" x14ac:dyDescent="0.35">
      <c r="A359" s="54">
        <v>46285</v>
      </c>
      <c r="B359" s="21">
        <v>81142.61</v>
      </c>
      <c r="C359" s="15">
        <v>562.98</v>
      </c>
      <c r="D359" s="15">
        <v>111.13</v>
      </c>
      <c r="E359" s="22">
        <f t="shared" si="21"/>
        <v>-1.1210867216651099E-3</v>
      </c>
      <c r="F359" s="22">
        <f t="shared" si="22"/>
        <v>2.9722166334388067E-2</v>
      </c>
      <c r="G359" s="22">
        <f t="shared" si="23"/>
        <v>1.0809836951624074E-3</v>
      </c>
      <c r="H359" s="20">
        <f>MAX($B$4:B359)</f>
        <v>124752.53</v>
      </c>
      <c r="I359" s="18">
        <f t="shared" si="20"/>
        <v>0.53744783412808639</v>
      </c>
      <c r="J359" s="19">
        <f>MAX($C$4:C359)</f>
        <v>713.44</v>
      </c>
      <c r="K359" s="18">
        <f>(J359/C359)-1</f>
        <v>0.26725638566201293</v>
      </c>
      <c r="L359">
        <f>MAX($D$4:D359)</f>
        <v>234.86</v>
      </c>
      <c r="M359" s="18">
        <f>(L359/D359)-1</f>
        <v>1.113380725276703</v>
      </c>
    </row>
    <row r="360" spans="1:13" ht="15.5" x14ac:dyDescent="0.35">
      <c r="A360" s="54">
        <v>46286</v>
      </c>
      <c r="B360" s="21">
        <v>86602.91</v>
      </c>
      <c r="C360" s="15">
        <v>589.41999999999996</v>
      </c>
      <c r="D360" s="15">
        <v>118.75</v>
      </c>
      <c r="E360" s="22">
        <f t="shared" si="21"/>
        <v>6.729263453566503E-2</v>
      </c>
      <c r="F360" s="22">
        <f t="shared" si="22"/>
        <v>4.6964368183594285E-2</v>
      </c>
      <c r="G360" s="22">
        <f t="shared" si="23"/>
        <v>6.8568343381625096E-2</v>
      </c>
      <c r="H360" s="20">
        <f>MAX($B$4:B360)</f>
        <v>124752.53</v>
      </c>
      <c r="I360" s="18">
        <f t="shared" si="20"/>
        <v>0.44051198741474162</v>
      </c>
      <c r="J360" s="19">
        <f>MAX($C$4:C360)</f>
        <v>713.44</v>
      </c>
      <c r="K360" s="18">
        <f>(J360/C360)-1</f>
        <v>0.21041023378914891</v>
      </c>
      <c r="L360">
        <f>MAX($D$4:D360)</f>
        <v>234.86</v>
      </c>
      <c r="M360" s="18">
        <f>(L360/D360)-1</f>
        <v>0.97776842105263162</v>
      </c>
    </row>
    <row r="361" spans="1:13" ht="15.5" x14ac:dyDescent="0.35">
      <c r="A361" s="54">
        <v>46287</v>
      </c>
      <c r="B361" s="21">
        <v>86172.28</v>
      </c>
      <c r="C361" s="15">
        <v>573.51</v>
      </c>
      <c r="D361" s="15">
        <v>118.51</v>
      </c>
      <c r="E361" s="22">
        <f t="shared" si="21"/>
        <v>-4.9724657058290989E-3</v>
      </c>
      <c r="F361" s="22">
        <f t="shared" si="22"/>
        <v>-2.6992636829425432E-2</v>
      </c>
      <c r="G361" s="22">
        <f t="shared" si="23"/>
        <v>-2.0210526315789235E-3</v>
      </c>
      <c r="H361" s="20">
        <f>MAX($B$4:B361)</f>
        <v>124752.53</v>
      </c>
      <c r="I361" s="18">
        <f t="shared" si="20"/>
        <v>0.44771067911862139</v>
      </c>
      <c r="J361" s="19">
        <f>MAX($C$4:C361)</f>
        <v>713.44</v>
      </c>
      <c r="K361" s="18">
        <f>(J361/C361)-1</f>
        <v>0.24398877090198967</v>
      </c>
      <c r="L361">
        <f>MAX($D$4:D361)</f>
        <v>234.86</v>
      </c>
      <c r="M361" s="18">
        <f>(L361/D361)-1</f>
        <v>0.98177368998396752</v>
      </c>
    </row>
    <row r="362" spans="1:13" ht="15.5" x14ac:dyDescent="0.35">
      <c r="A362" s="54">
        <v>46288</v>
      </c>
      <c r="B362" s="21">
        <v>84383.01</v>
      </c>
      <c r="C362" s="15">
        <v>552.54</v>
      </c>
      <c r="D362" s="15">
        <v>114.98</v>
      </c>
      <c r="E362" s="22">
        <f t="shared" si="21"/>
        <v>-2.0763869773435362E-2</v>
      </c>
      <c r="F362" s="22">
        <f t="shared" si="22"/>
        <v>-3.6564314484490268E-2</v>
      </c>
      <c r="G362" s="22">
        <f t="shared" si="23"/>
        <v>-2.9786515905830702E-2</v>
      </c>
      <c r="H362" s="20">
        <f>MAX($B$4:B362)</f>
        <v>124752.53</v>
      </c>
      <c r="I362" s="18">
        <f t="shared" si="20"/>
        <v>0.47840815348966581</v>
      </c>
      <c r="J362" s="19">
        <f>MAX($C$4:C362)</f>
        <v>713.44</v>
      </c>
      <c r="K362" s="18">
        <f>(J362/C362)-1</f>
        <v>0.29120063705795074</v>
      </c>
      <c r="L362">
        <f>MAX($D$4:D362)</f>
        <v>234.86</v>
      </c>
      <c r="M362" s="18">
        <f>(L362/D362)-1</f>
        <v>1.0426161071490694</v>
      </c>
    </row>
    <row r="363" spans="1:13" ht="15.5" x14ac:dyDescent="0.35">
      <c r="A363" s="54">
        <v>46289</v>
      </c>
      <c r="B363" s="21">
        <v>84379.06</v>
      </c>
      <c r="C363" s="15">
        <v>564.6</v>
      </c>
      <c r="D363" s="15">
        <v>117.01</v>
      </c>
      <c r="E363" s="22">
        <f t="shared" si="21"/>
        <v>-4.6810370950223223E-5</v>
      </c>
      <c r="F363" s="22">
        <f t="shared" si="22"/>
        <v>2.1826474101422688E-2</v>
      </c>
      <c r="G363" s="22">
        <f t="shared" si="23"/>
        <v>1.7655244390328839E-2</v>
      </c>
      <c r="H363" s="20">
        <f>MAX($B$4:B363)</f>
        <v>124752.53</v>
      </c>
      <c r="I363" s="18">
        <f t="shared" si="20"/>
        <v>0.47847736156340215</v>
      </c>
      <c r="J363" s="19">
        <f>MAX($C$4:C363)</f>
        <v>713.44</v>
      </c>
      <c r="K363" s="18">
        <f>(J363/C363)-1</f>
        <v>0.26362026213248324</v>
      </c>
      <c r="L363">
        <f>MAX($D$4:D363)</f>
        <v>234.86</v>
      </c>
      <c r="M363" s="18">
        <f>(L363/D363)-1</f>
        <v>1.0071788736005471</v>
      </c>
    </row>
    <row r="364" spans="1:13" ht="15.5" x14ac:dyDescent="0.35">
      <c r="A364" s="54">
        <v>46290</v>
      </c>
      <c r="B364" s="21">
        <v>84034.92</v>
      </c>
      <c r="C364" s="15">
        <v>557.14</v>
      </c>
      <c r="D364" s="15">
        <v>122.01</v>
      </c>
      <c r="E364" s="22">
        <f t="shared" si="21"/>
        <v>-4.0785000449163888E-3</v>
      </c>
      <c r="F364" s="22">
        <f t="shared" si="22"/>
        <v>-1.3212894084307591E-2</v>
      </c>
      <c r="G364" s="22">
        <f t="shared" si="23"/>
        <v>4.2731390479446185E-2</v>
      </c>
      <c r="H364" s="20">
        <f>MAX($B$4:B364)</f>
        <v>124752.53</v>
      </c>
      <c r="I364" s="18">
        <f t="shared" si="20"/>
        <v>0.48453202549606766</v>
      </c>
      <c r="J364" s="19">
        <f>MAX($C$4:C364)</f>
        <v>713.44</v>
      </c>
      <c r="K364" s="18">
        <f>(J364/C364)-1</f>
        <v>0.2805399002046165</v>
      </c>
      <c r="L364">
        <f>MAX($D$4:D364)</f>
        <v>234.86</v>
      </c>
      <c r="M364" s="18">
        <f>(L364/D364)-1</f>
        <v>0.92492418654208675</v>
      </c>
    </row>
    <row r="365" spans="1:13" ht="15.5" x14ac:dyDescent="0.35">
      <c r="A365" s="54">
        <v>46291</v>
      </c>
      <c r="B365" s="21">
        <v>84406.45</v>
      </c>
      <c r="C365" s="15">
        <v>559.45000000000005</v>
      </c>
      <c r="D365" s="15">
        <v>121.43</v>
      </c>
      <c r="E365" s="22">
        <f t="shared" si="21"/>
        <v>4.4211382601422322E-3</v>
      </c>
      <c r="F365" s="22">
        <f t="shared" si="22"/>
        <v>4.1461751085904996E-3</v>
      </c>
      <c r="G365" s="22">
        <f t="shared" si="23"/>
        <v>-4.7537087124006616E-3</v>
      </c>
      <c r="H365" s="20">
        <f>MAX($B$4:B365)</f>
        <v>124752.53</v>
      </c>
      <c r="I365" s="18">
        <f t="shared" si="20"/>
        <v>0.47799759378578299</v>
      </c>
      <c r="J365" s="19">
        <f>MAX($C$4:C365)</f>
        <v>713.44</v>
      </c>
      <c r="K365" s="18">
        <f>(J365/C365)-1</f>
        <v>0.27525248011439807</v>
      </c>
      <c r="L365">
        <f>MAX($D$4:D365)</f>
        <v>234.86</v>
      </c>
      <c r="M365" s="18">
        <f>(L365/D365)-1</f>
        <v>0.93411842213621021</v>
      </c>
    </row>
    <row r="366" spans="1:13" ht="15.5" x14ac:dyDescent="0.35">
      <c r="A366" s="54">
        <v>46292</v>
      </c>
      <c r="B366" s="21">
        <v>84458.08</v>
      </c>
      <c r="C366" s="15">
        <v>547.54999999999995</v>
      </c>
      <c r="D366" s="15">
        <v>122.06</v>
      </c>
      <c r="E366" s="22">
        <f t="shared" si="21"/>
        <v>6.1168311189496727E-4</v>
      </c>
      <c r="F366" s="22">
        <f t="shared" si="22"/>
        <v>-2.1270891053713603E-2</v>
      </c>
      <c r="G366" s="22">
        <f t="shared" si="23"/>
        <v>5.1881742567734257E-3</v>
      </c>
      <c r="H366" s="20">
        <f>MAX($B$4:B366)</f>
        <v>124752.53</v>
      </c>
      <c r="I366" s="18">
        <f t="shared" si="20"/>
        <v>0.47709408028219435</v>
      </c>
      <c r="J366" s="19">
        <f>MAX($C$4:C366)</f>
        <v>713.44</v>
      </c>
      <c r="K366" s="18">
        <f>(J366/C366)-1</f>
        <v>0.30296776550086779</v>
      </c>
      <c r="L366">
        <f>MAX($D$4:D366)</f>
        <v>234.86</v>
      </c>
      <c r="M366" s="18">
        <f>(L366/D366)-1</f>
        <v>0.92413567098148452</v>
      </c>
    </row>
    <row r="367" spans="1:13" ht="15.5" x14ac:dyDescent="0.35">
      <c r="A367" s="54">
        <v>46293</v>
      </c>
      <c r="B367" s="21">
        <v>83502.61</v>
      </c>
      <c r="C367" s="15">
        <v>541.1</v>
      </c>
      <c r="D367" s="15">
        <v>118.84</v>
      </c>
      <c r="E367" s="22">
        <f t="shared" si="21"/>
        <v>-1.1312949572142794E-2</v>
      </c>
      <c r="F367" s="22">
        <f t="shared" si="22"/>
        <v>-1.177974614190469E-2</v>
      </c>
      <c r="G367" s="22">
        <f t="shared" si="23"/>
        <v>-2.6380468621989173E-2</v>
      </c>
      <c r="H367" s="20">
        <f>MAX($B$4:B367)</f>
        <v>124752.53</v>
      </c>
      <c r="I367" s="18">
        <f t="shared" si="20"/>
        <v>0.49399557690472196</v>
      </c>
      <c r="J367" s="19">
        <f>MAX($C$4:C367)</f>
        <v>713.44</v>
      </c>
      <c r="K367" s="18">
        <f>(J367/C367)-1</f>
        <v>0.31849935316946953</v>
      </c>
      <c r="L367">
        <f>MAX($D$4:D367)</f>
        <v>234.86</v>
      </c>
      <c r="M367" s="18">
        <f>(L367/D367)-1</f>
        <v>0.97627061595422426</v>
      </c>
    </row>
    <row r="368" spans="1:13" ht="15.5" x14ac:dyDescent="0.35">
      <c r="A368" s="54">
        <v>46294</v>
      </c>
      <c r="B368" s="21">
        <v>83622.429999999993</v>
      </c>
      <c r="C368" s="15">
        <v>541.76</v>
      </c>
      <c r="D368" s="15">
        <v>119.06</v>
      </c>
      <c r="E368" s="22">
        <f t="shared" si="21"/>
        <v>1.4349252077270336E-3</v>
      </c>
      <c r="F368" s="22">
        <f t="shared" si="22"/>
        <v>1.2197375716134218E-3</v>
      </c>
      <c r="G368" s="22">
        <f t="shared" si="23"/>
        <v>1.8512285425782427E-3</v>
      </c>
      <c r="H368" s="20">
        <f>MAX($B$4:B368)</f>
        <v>124752.53</v>
      </c>
      <c r="I368" s="18">
        <f t="shared" si="20"/>
        <v>0.49185487673582329</v>
      </c>
      <c r="J368" s="19">
        <f>MAX($C$4:C368)</f>
        <v>713.44</v>
      </c>
      <c r="K368" s="18">
        <f>(J368/C368)-1</f>
        <v>0.31689308919078574</v>
      </c>
      <c r="L368">
        <f>MAX($D$4:D368)</f>
        <v>234.86</v>
      </c>
      <c r="M368" s="18">
        <f>(L368/D368)-1</f>
        <v>0.97261884763984563</v>
      </c>
    </row>
    <row r="369" spans="1:13" ht="15.5" x14ac:dyDescent="0.35">
      <c r="A369" s="54">
        <v>46295</v>
      </c>
      <c r="B369" s="21">
        <v>83553.850000000006</v>
      </c>
      <c r="C369" s="15">
        <v>544.45000000000005</v>
      </c>
      <c r="D369" s="15">
        <v>117.99</v>
      </c>
      <c r="E369" s="22">
        <f t="shared" si="21"/>
        <v>-8.2011489022726369E-4</v>
      </c>
      <c r="F369" s="22">
        <f t="shared" si="22"/>
        <v>4.9652982870644902E-3</v>
      </c>
      <c r="G369" s="22">
        <f t="shared" si="23"/>
        <v>-8.9870653452042149E-3</v>
      </c>
      <c r="H369" s="20">
        <f>MAX($B$4:B369)</f>
        <v>124752.53</v>
      </c>
      <c r="I369" s="18">
        <f t="shared" si="20"/>
        <v>0.49307937336220875</v>
      </c>
      <c r="J369" s="19">
        <f>MAX($C$4:C369)</f>
        <v>713.44</v>
      </c>
      <c r="K369" s="18">
        <f>(J369/C369)-1</f>
        <v>0.31038662870787026</v>
      </c>
      <c r="L369">
        <f>MAX($D$4:D369)</f>
        <v>234.86</v>
      </c>
      <c r="M369" s="18">
        <f>(L369/D369)-1</f>
        <v>0.99050767014153762</v>
      </c>
    </row>
    <row r="370" spans="1:13" ht="15.5" x14ac:dyDescent="0.35">
      <c r="A370" s="15"/>
      <c r="B370" s="15"/>
      <c r="C370" s="15"/>
      <c r="D370" s="15"/>
      <c r="E370" s="15"/>
      <c r="F370" s="15"/>
      <c r="G370" s="15"/>
      <c r="J370" s="14"/>
      <c r="M370" s="14"/>
    </row>
    <row r="371" spans="1:13" x14ac:dyDescent="0.35">
      <c r="M371" s="14"/>
    </row>
    <row r="372" spans="1:13" x14ac:dyDescent="0.35">
      <c r="M372" s="14"/>
    </row>
    <row r="373" spans="1:13" x14ac:dyDescent="0.35">
      <c r="M373" s="14"/>
    </row>
    <row r="374" spans="1:13" x14ac:dyDescent="0.35">
      <c r="M374" s="14"/>
    </row>
    <row r="375" spans="1:13" x14ac:dyDescent="0.35">
      <c r="M375" s="14"/>
    </row>
    <row r="376" spans="1:13" x14ac:dyDescent="0.35">
      <c r="M376" s="14"/>
    </row>
    <row r="377" spans="1:13" x14ac:dyDescent="0.35">
      <c r="M377" s="14"/>
    </row>
    <row r="378" spans="1:13" x14ac:dyDescent="0.35">
      <c r="M378" s="14"/>
    </row>
    <row r="379" spans="1:13" x14ac:dyDescent="0.35">
      <c r="M379" s="14"/>
    </row>
    <row r="380" spans="1:13" x14ac:dyDescent="0.35">
      <c r="M380" s="14"/>
    </row>
    <row r="381" spans="1:13" x14ac:dyDescent="0.35">
      <c r="M381" s="14"/>
    </row>
    <row r="382" spans="1:13" x14ac:dyDescent="0.35">
      <c r="M382" s="14"/>
    </row>
    <row r="383" spans="1:13" x14ac:dyDescent="0.35">
      <c r="M383" s="14"/>
    </row>
    <row r="384" spans="1:13" x14ac:dyDescent="0.35">
      <c r="M384" s="14"/>
    </row>
    <row r="385" spans="13:13" x14ac:dyDescent="0.35">
      <c r="M385" s="14"/>
    </row>
    <row r="386" spans="13:13" x14ac:dyDescent="0.35">
      <c r="M386" s="14"/>
    </row>
    <row r="387" spans="13:13" x14ac:dyDescent="0.35">
      <c r="M387" s="14"/>
    </row>
    <row r="388" spans="13:13" x14ac:dyDescent="0.35">
      <c r="M388" s="14"/>
    </row>
    <row r="389" spans="13:13" x14ac:dyDescent="0.35">
      <c r="M389" s="14"/>
    </row>
    <row r="390" spans="13:13" x14ac:dyDescent="0.35">
      <c r="M390" s="14"/>
    </row>
    <row r="391" spans="13:13" x14ac:dyDescent="0.35">
      <c r="M391" s="14"/>
    </row>
    <row r="392" spans="13:13" x14ac:dyDescent="0.35">
      <c r="M392" s="14"/>
    </row>
    <row r="393" spans="13:13" x14ac:dyDescent="0.35">
      <c r="M393" s="14"/>
    </row>
    <row r="394" spans="13:13" x14ac:dyDescent="0.35">
      <c r="M394" s="14"/>
    </row>
    <row r="395" spans="13:13" x14ac:dyDescent="0.35">
      <c r="M395" s="14"/>
    </row>
    <row r="396" spans="13:13" x14ac:dyDescent="0.35">
      <c r="M396" s="14"/>
    </row>
    <row r="397" spans="13:13" x14ac:dyDescent="0.35">
      <c r="M397" s="14"/>
    </row>
    <row r="398" spans="13:13" x14ac:dyDescent="0.35">
      <c r="M398" s="14"/>
    </row>
    <row r="399" spans="13:13" x14ac:dyDescent="0.35">
      <c r="M399" s="14"/>
    </row>
    <row r="400" spans="13:13" x14ac:dyDescent="0.35">
      <c r="M400" s="14"/>
    </row>
    <row r="401" spans="13:13" x14ac:dyDescent="0.35">
      <c r="M401" s="14"/>
    </row>
    <row r="402" spans="13:13" x14ac:dyDescent="0.35">
      <c r="M402" s="14"/>
    </row>
    <row r="403" spans="13:13" x14ac:dyDescent="0.35">
      <c r="M403" s="14"/>
    </row>
    <row r="404" spans="13:13" x14ac:dyDescent="0.35">
      <c r="M404" s="14"/>
    </row>
    <row r="405" spans="13:13" x14ac:dyDescent="0.35">
      <c r="M405" s="14"/>
    </row>
    <row r="406" spans="13:13" x14ac:dyDescent="0.35">
      <c r="M406" s="14"/>
    </row>
    <row r="407" spans="13:13" x14ac:dyDescent="0.35">
      <c r="M407" s="14"/>
    </row>
    <row r="408" spans="13:13" x14ac:dyDescent="0.35">
      <c r="M408" s="14"/>
    </row>
    <row r="409" spans="13:13" x14ac:dyDescent="0.35">
      <c r="M409" s="14"/>
    </row>
    <row r="410" spans="13:13" x14ac:dyDescent="0.35">
      <c r="M410" s="14"/>
    </row>
    <row r="411" spans="13:13" x14ac:dyDescent="0.35">
      <c r="M411" s="14"/>
    </row>
    <row r="412" spans="13:13" x14ac:dyDescent="0.35">
      <c r="M412" s="14"/>
    </row>
    <row r="413" spans="13:13" x14ac:dyDescent="0.35">
      <c r="M413" s="14"/>
    </row>
    <row r="414" spans="13:13" x14ac:dyDescent="0.35">
      <c r="M414" s="14"/>
    </row>
    <row r="415" spans="13:13" x14ac:dyDescent="0.35">
      <c r="M415" s="14"/>
    </row>
    <row r="416" spans="13:13" x14ac:dyDescent="0.35">
      <c r="M416" s="14"/>
    </row>
    <row r="417" spans="13:13" x14ac:dyDescent="0.35">
      <c r="M417" s="14"/>
    </row>
    <row r="418" spans="13:13" x14ac:dyDescent="0.35">
      <c r="M418" s="14"/>
    </row>
    <row r="419" spans="13:13" x14ac:dyDescent="0.35">
      <c r="M419" s="14"/>
    </row>
    <row r="420" spans="13:13" x14ac:dyDescent="0.35">
      <c r="M420" s="14"/>
    </row>
    <row r="421" spans="13:13" x14ac:dyDescent="0.35">
      <c r="M421" s="14"/>
    </row>
    <row r="422" spans="13:13" x14ac:dyDescent="0.35">
      <c r="M422" s="14"/>
    </row>
    <row r="423" spans="13:13" x14ac:dyDescent="0.35">
      <c r="M423" s="14"/>
    </row>
    <row r="424" spans="13:13" x14ac:dyDescent="0.35">
      <c r="M424" s="14"/>
    </row>
    <row r="425" spans="13:13" x14ac:dyDescent="0.35">
      <c r="M425" s="14"/>
    </row>
    <row r="426" spans="13:13" x14ac:dyDescent="0.35">
      <c r="M426" s="14"/>
    </row>
    <row r="427" spans="13:13" x14ac:dyDescent="0.35">
      <c r="M427" s="14"/>
    </row>
    <row r="428" spans="13:13" x14ac:dyDescent="0.35">
      <c r="M428" s="14"/>
    </row>
    <row r="429" spans="13:13" x14ac:dyDescent="0.35">
      <c r="M429" s="14"/>
    </row>
    <row r="430" spans="13:13" x14ac:dyDescent="0.35">
      <c r="M430" s="14"/>
    </row>
    <row r="431" spans="13:13" x14ac:dyDescent="0.35">
      <c r="M431" s="14"/>
    </row>
    <row r="432" spans="13:13" x14ac:dyDescent="0.35">
      <c r="M432" s="14"/>
    </row>
    <row r="433" spans="13:13" x14ac:dyDescent="0.35">
      <c r="M433" s="14"/>
    </row>
    <row r="434" spans="13:13" x14ac:dyDescent="0.35">
      <c r="M434" s="14"/>
    </row>
    <row r="435" spans="13:13" x14ac:dyDescent="0.35">
      <c r="M435" s="14"/>
    </row>
    <row r="436" spans="13:13" x14ac:dyDescent="0.35">
      <c r="M436" s="14"/>
    </row>
    <row r="437" spans="13:13" x14ac:dyDescent="0.35">
      <c r="M437" s="14"/>
    </row>
    <row r="438" spans="13:13" x14ac:dyDescent="0.35">
      <c r="M438" s="14"/>
    </row>
    <row r="439" spans="13:13" x14ac:dyDescent="0.35">
      <c r="M439" s="14"/>
    </row>
    <row r="440" spans="13:13" x14ac:dyDescent="0.35">
      <c r="M440" s="14"/>
    </row>
    <row r="441" spans="13:13" x14ac:dyDescent="0.35">
      <c r="M441" s="14"/>
    </row>
    <row r="442" spans="13:13" x14ac:dyDescent="0.35">
      <c r="M442" s="14"/>
    </row>
    <row r="443" spans="13:13" x14ac:dyDescent="0.35">
      <c r="M443" s="14"/>
    </row>
    <row r="444" spans="13:13" x14ac:dyDescent="0.35">
      <c r="M444" s="14"/>
    </row>
    <row r="445" spans="13:13" x14ac:dyDescent="0.35">
      <c r="M445" s="14"/>
    </row>
    <row r="446" spans="13:13" x14ac:dyDescent="0.35">
      <c r="M446" s="14"/>
    </row>
    <row r="447" spans="13:13" x14ac:dyDescent="0.35">
      <c r="M447" s="14"/>
    </row>
    <row r="448" spans="13:13" x14ac:dyDescent="0.35">
      <c r="M448" s="14"/>
    </row>
    <row r="449" spans="13:13" x14ac:dyDescent="0.35">
      <c r="M449" s="14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F763-801D-4938-8D33-E6B6C0246D5F}">
  <dimension ref="A1:D10"/>
  <sheetViews>
    <sheetView workbookViewId="0">
      <selection activeCell="B9" sqref="B9"/>
    </sheetView>
  </sheetViews>
  <sheetFormatPr defaultRowHeight="14.5" x14ac:dyDescent="0.35"/>
  <cols>
    <col min="1" max="1" width="20" bestFit="1" customWidth="1"/>
    <col min="2" max="2" width="16.81640625" customWidth="1"/>
    <col min="3" max="3" width="11.54296875" customWidth="1"/>
    <col min="4" max="4" width="12.26953125" customWidth="1"/>
  </cols>
  <sheetData>
    <row r="1" spans="1:4" ht="21" x14ac:dyDescent="0.5">
      <c r="A1" s="40" t="s">
        <v>23</v>
      </c>
      <c r="B1" s="40"/>
      <c r="C1" s="40"/>
      <c r="D1" s="40"/>
    </row>
    <row r="3" spans="1:4" ht="19" thickBot="1" x14ac:dyDescent="0.4">
      <c r="A3" s="13" t="s">
        <v>24</v>
      </c>
      <c r="B3" s="13" t="s">
        <v>25</v>
      </c>
      <c r="C3" s="13" t="s">
        <v>26</v>
      </c>
      <c r="D3" s="13" t="s">
        <v>27</v>
      </c>
    </row>
    <row r="4" spans="1:4" ht="16" thickBot="1" x14ac:dyDescent="0.4">
      <c r="A4" s="10" t="s">
        <v>28</v>
      </c>
      <c r="B4" s="31">
        <f>'Histrorical Data'!B4</f>
        <v>114056.08</v>
      </c>
      <c r="C4" s="32">
        <f>'Histrorical Data'!C4</f>
        <v>295.33</v>
      </c>
      <c r="D4" s="33">
        <f>'Histrorical Data'!D4</f>
        <v>208.74</v>
      </c>
    </row>
    <row r="5" spans="1:4" ht="15.5" x14ac:dyDescent="0.35">
      <c r="A5" s="10" t="s">
        <v>29</v>
      </c>
      <c r="B5" s="34">
        <f>'Histrorical Data'!B369</f>
        <v>83553.850000000006</v>
      </c>
      <c r="C5" s="33">
        <f>'Histrorical Data'!C369</f>
        <v>544.45000000000005</v>
      </c>
      <c r="D5" s="32">
        <f>'Histrorical Data'!D369</f>
        <v>117.99</v>
      </c>
    </row>
    <row r="6" spans="1:4" ht="15.5" x14ac:dyDescent="0.35">
      <c r="A6" s="10" t="s">
        <v>10</v>
      </c>
      <c r="B6" s="35">
        <f>(B5-B4)/B4</f>
        <v>-0.26743186334301511</v>
      </c>
      <c r="C6" s="35">
        <f>(C5-C4)/C4</f>
        <v>0.84353096536078309</v>
      </c>
      <c r="D6" s="35">
        <f>(D5-D4)/D4</f>
        <v>-0.43475136533486641</v>
      </c>
    </row>
    <row r="7" spans="1:4" ht="15.5" x14ac:dyDescent="0.35">
      <c r="A7" s="10" t="s">
        <v>30</v>
      </c>
      <c r="B7" s="36">
        <f>MAX('Histrorical Data'!B4:B369)</f>
        <v>124752.53</v>
      </c>
      <c r="C7" s="32">
        <f>MAX('Histrorical Data'!C4:C369)</f>
        <v>713.44</v>
      </c>
      <c r="D7" s="32">
        <f>MAX('Histrorical Data'!D4:D369)</f>
        <v>234.86</v>
      </c>
    </row>
    <row r="8" spans="1:4" ht="15.5" x14ac:dyDescent="0.35">
      <c r="A8" s="10" t="s">
        <v>31</v>
      </c>
      <c r="B8" s="36">
        <f>MIN('Histrorical Data'!B4:B369)</f>
        <v>58558.86</v>
      </c>
      <c r="C8" s="32">
        <f>MIN('Histrorical Data'!C4:C369)</f>
        <v>291.23</v>
      </c>
      <c r="D8" s="32">
        <f>MIN('Histrorical Data'!D4:D369)</f>
        <v>62.19</v>
      </c>
    </row>
    <row r="9" spans="1:4" ht="19" customHeight="1" x14ac:dyDescent="0.35">
      <c r="A9" s="10" t="s">
        <v>32</v>
      </c>
      <c r="B9" s="34">
        <f>AVERAGE('Histrorical Data'!B4:B369)</f>
        <v>79913.922349726796</v>
      </c>
      <c r="C9" s="33">
        <f>AVERAGE('Histrorical Data'!C4:C369)</f>
        <v>389.50139344262305</v>
      </c>
      <c r="D9" s="33">
        <f>AVERAGE('Histrorical Data'!D4:D369)</f>
        <v>108.44019125683059</v>
      </c>
    </row>
    <row r="10" spans="1:4" ht="15.5" x14ac:dyDescent="0.35">
      <c r="A10" s="15"/>
      <c r="B10" s="15"/>
      <c r="C10" s="15"/>
      <c r="D10" s="15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3408-AD41-49BF-85F2-924E58A0F1C9}">
  <dimension ref="A1:N11"/>
  <sheetViews>
    <sheetView workbookViewId="0">
      <selection activeCell="A4" sqref="A4:D7"/>
    </sheetView>
  </sheetViews>
  <sheetFormatPr defaultRowHeight="14.5" x14ac:dyDescent="0.35"/>
  <cols>
    <col min="1" max="1" width="14" customWidth="1"/>
    <col min="2" max="2" width="11.90625" customWidth="1"/>
    <col min="3" max="3" width="10.6328125" customWidth="1"/>
    <col min="4" max="4" width="10.453125" customWidth="1"/>
    <col min="14" max="14" width="10.90625" customWidth="1"/>
  </cols>
  <sheetData>
    <row r="1" spans="1:14" ht="23.5" x14ac:dyDescent="0.55000000000000004">
      <c r="A1" s="41" t="s">
        <v>33</v>
      </c>
      <c r="B1" s="41"/>
      <c r="C1" s="41"/>
      <c r="D1" s="41"/>
    </row>
    <row r="4" spans="1:14" ht="29" x14ac:dyDescent="0.35">
      <c r="A4" s="11" t="s">
        <v>34</v>
      </c>
      <c r="B4" s="11" t="s">
        <v>25</v>
      </c>
      <c r="C4" s="11" t="s">
        <v>26</v>
      </c>
      <c r="D4" s="11" t="s">
        <v>27</v>
      </c>
    </row>
    <row r="5" spans="1:14" ht="29" x14ac:dyDescent="0.35">
      <c r="A5" s="9" t="s">
        <v>32</v>
      </c>
      <c r="B5" s="34">
        <f>AVERAGE('Histrorical Data'!B4:B369)</f>
        <v>79913.922349726796</v>
      </c>
      <c r="C5" s="33">
        <f>AVERAGE('Histrorical Data'!C4:C369)</f>
        <v>389.50139344262305</v>
      </c>
      <c r="D5" s="33">
        <f>AVERAGE('Histrorical Data'!D4:D369)</f>
        <v>108.44019125683059</v>
      </c>
    </row>
    <row r="6" spans="1:14" x14ac:dyDescent="0.35">
      <c r="A6" s="9" t="s">
        <v>35</v>
      </c>
      <c r="B6" s="43">
        <f>STDEV('Histrorical Data'!B4:B369)</f>
        <v>15335.965836816062</v>
      </c>
      <c r="C6" s="42">
        <f>STDEV('Histrorical Data'!C4:C369)</f>
        <v>75.348074944081375</v>
      </c>
      <c r="D6" s="42">
        <f>STDEV('Histrorical Data'!D4:D369)</f>
        <v>38.480208450956759</v>
      </c>
      <c r="K6" s="11"/>
      <c r="L6" s="11"/>
      <c r="M6" s="11"/>
      <c r="N6" s="11"/>
    </row>
    <row r="7" spans="1:14" ht="29" x14ac:dyDescent="0.35">
      <c r="A7" s="9" t="s">
        <v>36</v>
      </c>
      <c r="B7" s="6">
        <f>STDEV('Histrorical Data'!B4:B369)*SQRT(365)</f>
        <v>292993.21591807564</v>
      </c>
      <c r="C7" s="6">
        <f>STDEV('Histrorical Data'!C4:C369)*SQRT(365)</f>
        <v>1439.5229505601151</v>
      </c>
      <c r="D7" s="6">
        <f>STDEV('Histrorical Data'!D4:D369)*SQRT(365)</f>
        <v>735.16335020634403</v>
      </c>
      <c r="K7" s="9"/>
      <c r="L7" s="6"/>
      <c r="M7" s="6"/>
      <c r="N7" s="6"/>
    </row>
    <row r="8" spans="1:14" ht="29.5" customHeight="1" x14ac:dyDescent="0.35">
      <c r="A8" s="9" t="s">
        <v>37</v>
      </c>
      <c r="B8" s="44">
        <f>MIN('Histrorical Data'!I4:I369)</f>
        <v>0</v>
      </c>
      <c r="C8" s="44">
        <f>MIN('Histrorical Data'!K4:K369)</f>
        <v>0</v>
      </c>
      <c r="D8" s="44">
        <f>MIN('Histrorical Data'!M4:M369)</f>
        <v>0</v>
      </c>
    </row>
    <row r="11" spans="1:14" x14ac:dyDescent="0.35">
      <c r="I11" s="14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8DDE-ADD3-45A6-ABFF-2E499E21D1D9}">
  <dimension ref="A1:E18"/>
  <sheetViews>
    <sheetView workbookViewId="0">
      <selection activeCell="A3" sqref="A3:B7"/>
    </sheetView>
  </sheetViews>
  <sheetFormatPr defaultRowHeight="14.5" x14ac:dyDescent="0.35"/>
  <cols>
    <col min="1" max="1" width="37.7265625" bestFit="1" customWidth="1"/>
    <col min="2" max="2" width="14" customWidth="1"/>
    <col min="3" max="3" width="12.36328125" customWidth="1"/>
    <col min="4" max="4" width="19.7265625" customWidth="1"/>
    <col min="5" max="5" width="18.453125" customWidth="1"/>
  </cols>
  <sheetData>
    <row r="1" spans="1:5" ht="21" x14ac:dyDescent="0.5">
      <c r="A1" s="7" t="s">
        <v>52</v>
      </c>
    </row>
    <row r="2" spans="1:5" ht="15" thickBot="1" x14ac:dyDescent="0.4"/>
    <row r="3" spans="1:5" ht="31.5" thickBot="1" x14ac:dyDescent="0.4">
      <c r="A3" s="12" t="s">
        <v>7</v>
      </c>
      <c r="B3" s="12" t="s">
        <v>50</v>
      </c>
      <c r="C3" s="12" t="s">
        <v>51</v>
      </c>
      <c r="D3" s="29" t="s">
        <v>60</v>
      </c>
      <c r="E3" s="12" t="s">
        <v>59</v>
      </c>
    </row>
    <row r="4" spans="1:5" ht="16" thickBot="1" x14ac:dyDescent="0.4">
      <c r="A4" s="11" t="s">
        <v>25</v>
      </c>
      <c r="B4" s="48">
        <v>0.5</v>
      </c>
      <c r="C4" s="51">
        <v>500000</v>
      </c>
      <c r="D4" s="26">
        <v>-0.26740000000000003</v>
      </c>
      <c r="E4" s="53">
        <f>C4*(1+D4)</f>
        <v>366299.99999999994</v>
      </c>
    </row>
    <row r="5" spans="1:5" ht="16" thickBot="1" x14ac:dyDescent="0.4">
      <c r="A5" s="11" t="s">
        <v>26</v>
      </c>
      <c r="B5" s="48">
        <v>0.25</v>
      </c>
      <c r="C5" s="51">
        <v>250000</v>
      </c>
      <c r="D5" s="28">
        <v>0.84350000000000003</v>
      </c>
      <c r="E5" s="53">
        <f>C5*(1+D5)</f>
        <v>460875.00000000006</v>
      </c>
    </row>
    <row r="6" spans="1:5" ht="16" thickBot="1" x14ac:dyDescent="0.4">
      <c r="A6" s="11" t="s">
        <v>27</v>
      </c>
      <c r="B6" s="48">
        <v>0.25</v>
      </c>
      <c r="C6" s="51">
        <v>250000</v>
      </c>
      <c r="D6" s="28">
        <v>-0.43480000000000002</v>
      </c>
      <c r="E6" s="53">
        <f>C6*(1+D6)</f>
        <v>141299.99999999997</v>
      </c>
    </row>
    <row r="7" spans="1:5" x14ac:dyDescent="0.35">
      <c r="A7" s="11" t="s">
        <v>61</v>
      </c>
      <c r="B7" s="50">
        <f>SUM(B4:B6)</f>
        <v>1</v>
      </c>
      <c r="C7" s="52">
        <f>SUM(C4:C6)</f>
        <v>1000000</v>
      </c>
      <c r="D7" s="3"/>
      <c r="E7" s="52">
        <f>SUM(E4:E6)</f>
        <v>968475</v>
      </c>
    </row>
    <row r="9" spans="1:5" x14ac:dyDescent="0.35">
      <c r="A9" s="11" t="s">
        <v>58</v>
      </c>
    </row>
    <row r="10" spans="1:5" x14ac:dyDescent="0.35">
      <c r="A10" t="s">
        <v>53</v>
      </c>
    </row>
    <row r="11" spans="1:5" x14ac:dyDescent="0.35">
      <c r="A11" s="49"/>
    </row>
    <row r="12" spans="1:5" x14ac:dyDescent="0.35">
      <c r="A12" s="49" t="s">
        <v>54</v>
      </c>
    </row>
    <row r="13" spans="1:5" x14ac:dyDescent="0.35">
      <c r="A13" s="49" t="s">
        <v>55</v>
      </c>
    </row>
    <row r="14" spans="1:5" x14ac:dyDescent="0.35">
      <c r="A14" s="49" t="s">
        <v>56</v>
      </c>
    </row>
    <row r="16" spans="1:5" x14ac:dyDescent="0.35">
      <c r="A16" s="3" t="s">
        <v>57</v>
      </c>
    </row>
    <row r="18" spans="1:2" x14ac:dyDescent="0.35">
      <c r="A18" s="3" t="s">
        <v>62</v>
      </c>
      <c r="B18" s="19">
        <f>(E47-C7)/C7</f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CCEB-A895-4698-99A3-757D5D3BD425}">
  <dimension ref="A1:A63"/>
  <sheetViews>
    <sheetView tabSelected="1" topLeftCell="A7" zoomScale="70" zoomScaleNormal="70" workbookViewId="0">
      <selection activeCell="N49" sqref="N49"/>
    </sheetView>
  </sheetViews>
  <sheetFormatPr defaultRowHeight="14.5" x14ac:dyDescent="0.35"/>
  <cols>
    <col min="1" max="1" width="35.26953125" customWidth="1"/>
    <col min="5" max="5" width="11.6328125" bestFit="1" customWidth="1"/>
  </cols>
  <sheetData>
    <row r="1" spans="1:1" s="8" customFormat="1" ht="23.5" x14ac:dyDescent="0.55000000000000004">
      <c r="A1" s="8" t="s">
        <v>44</v>
      </c>
    </row>
    <row r="3" spans="1:1" ht="18.5" x14ac:dyDescent="0.45">
      <c r="A3" s="2" t="s">
        <v>47</v>
      </c>
    </row>
    <row r="24" spans="1:1" ht="18.5" x14ac:dyDescent="0.45">
      <c r="A24" s="2" t="s">
        <v>45</v>
      </c>
    </row>
    <row r="43" spans="1:1" ht="18.5" x14ac:dyDescent="0.45">
      <c r="A43" s="2" t="s">
        <v>46</v>
      </c>
    </row>
    <row r="63" spans="1:1" ht="21" x14ac:dyDescent="0.5">
      <c r="A63" s="7" t="s"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Histrorical Data</vt:lpstr>
      <vt:lpstr>Performance</vt:lpstr>
      <vt:lpstr>Risk analysis</vt:lpstr>
      <vt:lpstr>Portfolio 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Sh</dc:creator>
  <cp:lastModifiedBy>Jo Sh</cp:lastModifiedBy>
  <dcterms:created xsi:type="dcterms:W3CDTF">2026-10-03T16:54:47Z</dcterms:created>
  <dcterms:modified xsi:type="dcterms:W3CDTF">2026-10-04T18:24:49Z</dcterms:modified>
</cp:coreProperties>
</file>