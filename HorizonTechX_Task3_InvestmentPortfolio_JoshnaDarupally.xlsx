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8_{7053A1BF-4E31-4F74-8668-C94C5E48FDA7}" xr6:coauthVersionLast="47" xr6:coauthVersionMax="47" xr10:uidLastSave="{00000000-0000-0000-0000-000000000000}"/>
  <bookViews>
    <workbookView xWindow="-110" yWindow="-110" windowWidth="19420" windowHeight="10420" activeTab="4" xr2:uid="{239BFA40-F68B-48A2-8ED2-650D5E64E426}"/>
  </bookViews>
  <sheets>
    <sheet name="Portfolio" sheetId="1" r:id="rId1"/>
    <sheet name="Asset Allocation" sheetId="2" r:id="rId2"/>
    <sheet name="Stress Test" sheetId="3" r:id="rId3"/>
    <sheet name="Monitoring" sheetId="4" r:id="rId4"/>
    <sheet name="Key Formulas" sheetId="5" r:id="rId5"/>
    <sheet name="References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5" i="3" l="1"/>
  <c r="B15" i="3"/>
  <c r="C14" i="3"/>
  <c r="B14" i="3"/>
  <c r="C13" i="3"/>
  <c r="B13" i="3"/>
  <c r="I8" i="3"/>
  <c r="I7" i="3"/>
  <c r="I6" i="3"/>
  <c r="H8" i="3"/>
  <c r="H7" i="3"/>
  <c r="H6" i="3"/>
  <c r="G8" i="3"/>
  <c r="G7" i="3"/>
  <c r="G6" i="3"/>
  <c r="F8" i="3"/>
  <c r="F6" i="3"/>
  <c r="F7" i="3"/>
  <c r="C15" i="1"/>
  <c r="D10" i="1"/>
  <c r="D11" i="1"/>
  <c r="D12" i="1"/>
  <c r="D13" i="1"/>
  <c r="D14" i="1"/>
  <c r="D9" i="1"/>
  <c r="D8" i="1"/>
  <c r="D15" i="1" l="1"/>
</calcChain>
</file>

<file path=xl/sharedStrings.xml><?xml version="1.0" encoding="utf-8"?>
<sst xmlns="http://schemas.openxmlformats.org/spreadsheetml/2006/main" count="117" uniqueCount="90">
  <si>
    <t>HORIZON TECHX – TASK 3: INVESTMENT PORTFOLIO CREATION</t>
  </si>
  <si>
    <t>Asset Class</t>
  </si>
  <si>
    <t>Investment</t>
  </si>
  <si>
    <t>Amount</t>
  </si>
  <si>
    <t>Weight</t>
  </si>
  <si>
    <t>Purpose</t>
  </si>
  <si>
    <t>Stock</t>
  </si>
  <si>
    <t>Reliance Industries Ltd.</t>
  </si>
  <si>
    <t>Diversified Indian business exposure</t>
  </si>
  <si>
    <t>Tata Consultancy Services Ltd.</t>
  </si>
  <si>
    <t>IT-services exposure</t>
  </si>
  <si>
    <t>HDFC Bank Ltd.</t>
  </si>
  <si>
    <t>Banking and financial-services exposure</t>
  </si>
  <si>
    <t>ETF</t>
  </si>
  <si>
    <t>Nifty 50 ETF</t>
  </si>
  <si>
    <t>Core diversified Indian equity exposure</t>
  </si>
  <si>
    <t>Gold ETF</t>
  </si>
  <si>
    <t>Diversification and defensive exposure</t>
  </si>
  <si>
    <t>Crypto</t>
  </si>
  <si>
    <t>Bitcoin</t>
  </si>
  <si>
    <t>Limited exposure to digital assets</t>
  </si>
  <si>
    <t>Ethereum</t>
  </si>
  <si>
    <t>Additional digital-asset exposure</t>
  </si>
  <si>
    <t>TOTAL</t>
  </si>
  <si>
    <t>Hypothetical Portfolio Value</t>
  </si>
  <si>
    <t>Amount (₹)</t>
  </si>
  <si>
    <t>Allocation</t>
  </si>
  <si>
    <t>Stocks</t>
  </si>
  <si>
    <t>ETFs</t>
  </si>
  <si>
    <t>Total</t>
  </si>
  <si>
    <t>Asset Allocation</t>
  </si>
  <si>
    <t>Portfolio</t>
  </si>
  <si>
    <t>Scenario</t>
  </si>
  <si>
    <t>Moderate Correction</t>
  </si>
  <si>
    <t>Severe Market Stress</t>
  </si>
  <si>
    <t>Positive Market</t>
  </si>
  <si>
    <t>Stress Test</t>
  </si>
  <si>
    <t>Estimated Loss/Gain</t>
  </si>
  <si>
    <t>Portfolio Value</t>
  </si>
  <si>
    <t>Assumed Change</t>
  </si>
  <si>
    <t>Estimated Change(Assumed change*Portfolio)</t>
  </si>
  <si>
    <t>Monitoring</t>
  </si>
  <si>
    <t>Target Allocation</t>
  </si>
  <si>
    <t>Review Frequency</t>
  </si>
  <si>
    <t>Rebalancing Trigger</t>
  </si>
  <si>
    <t>Quarterly</t>
  </si>
  <si>
    <t>±5%</t>
  </si>
  <si>
    <t>Monthly/Quarterly</t>
  </si>
  <si>
    <t>Monitoring Points</t>
  </si>
  <si>
    <t>1. Review the portfolio every quarter.</t>
  </si>
  <si>
    <t>2. Compare actual allocation with target allocation.</t>
  </si>
  <si>
    <t>3. Rebalance when an allocation differs by around 5 percentage points.</t>
  </si>
  <si>
    <t>4. Review stock fundamentals and company performance.</t>
  </si>
  <si>
    <t>5. Monitor ETF performance and composition.</t>
  </si>
  <si>
    <t>6. Monitor cryptocurrency volatility.</t>
  </si>
  <si>
    <t>7. Adjust the portfolio according to investment objectives and risk tolerance.</t>
  </si>
  <si>
    <t>References</t>
  </si>
  <si>
    <t>Link</t>
  </si>
  <si>
    <t>SEBI Investor</t>
  </si>
  <si>
    <t>https://investor.sebi.gov.in/</t>
  </si>
  <si>
    <t>NSE India</t>
  </si>
  <si>
    <t>https://www.nseindia.com/</t>
  </si>
  <si>
    <t>Nifty 50 Index</t>
  </si>
  <si>
    <t>https://www.nseindia.com/static/products-services/indices-nifty50-index</t>
  </si>
  <si>
    <t>Nifty Indices</t>
  </si>
  <si>
    <t>https://www.niftyindices.com/</t>
  </si>
  <si>
    <t>Source</t>
  </si>
  <si>
    <t>Formula</t>
  </si>
  <si>
    <t>Portfolio Weight</t>
  </si>
  <si>
    <t>Calculates an investment's percentage of total portfolio.</t>
  </si>
  <si>
    <t>Portfolio Return</t>
  </si>
  <si>
    <t>Profit / Loss</t>
  </si>
  <si>
    <t>Calculates gain or loss for an investment.</t>
  </si>
  <si>
    <t>Ending Portfolio Value</t>
  </si>
  <si>
    <t>Allocation Variance</t>
  </si>
  <si>
    <t>Rebalancing Flag</t>
  </si>
  <si>
    <t>Flags material allocation drift.</t>
  </si>
  <si>
    <t>Stress-Test Value</t>
  </si>
  <si>
    <t>Estimates portfolio value under a scenario.</t>
  </si>
  <si>
    <t>Key Formulas</t>
  </si>
  <si>
    <t>Excel Formula</t>
  </si>
  <si>
    <t>Calculates overall portfolio return</t>
  </si>
  <si>
    <t>Calculates final portfolio value</t>
  </si>
  <si>
    <t>Shows allocation difference</t>
  </si>
  <si>
    <t>Investment Amount/Total Portfolio Value</t>
  </si>
  <si>
    <t>SUMPRODUCT(Weight Range, Return Range)</t>
  </si>
  <si>
    <t>Investment Amount*Return</t>
  </si>
  <si>
    <t>Initial Value+Profit/Loss</t>
  </si>
  <si>
    <t>SUM(Initial Amount*(1+Scenario Return))</t>
  </si>
  <si>
    <t>Actual Allocation − Target Allocation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</si>
</sst>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₹&quot;\ #,##0;[Red]&quot;₹&quot;\ \-#,##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5B9BD5"/>
        <bgColor rgb="FF000000"/>
      </patternFill>
    </fill>
    <fill>
      <patternFill patternType="solid">
        <fgColor theme="0"/>
        <bgColor rgb="FF000000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rgb="FFD9E1F2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6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6" fontId="5" fillId="0" borderId="4" xfId="0" applyNumberFormat="1" applyFont="1" applyBorder="1" applyAlignment="1">
      <alignment vertical="center" wrapText="1"/>
    </xf>
    <xf numFmtId="9" fontId="5" fillId="0" borderId="4" xfId="0" applyNumberFormat="1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6" fontId="2" fillId="0" borderId="4" xfId="0" applyNumberFormat="1" applyFont="1" applyBorder="1" applyAlignment="1">
      <alignment vertical="center" wrapText="1"/>
    </xf>
    <xf numFmtId="9" fontId="2" fillId="0" borderId="4" xfId="0" applyNumberFormat="1" applyFont="1" applyBorder="1" applyAlignment="1">
      <alignment vertical="center" wrapText="1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6" fontId="5" fillId="0" borderId="0" xfId="0" applyNumberFormat="1" applyFont="1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vertical="center" wrapText="1"/>
    </xf>
    <xf numFmtId="9" fontId="5" fillId="0" borderId="0" xfId="0" applyNumberFormat="1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6" xfId="0" applyFont="1" applyBorder="1" applyAlignment="1">
      <alignment vertical="center" wrapText="1"/>
    </xf>
    <xf numFmtId="9" fontId="5" fillId="0" borderId="0" xfId="0" applyNumberFormat="1" applyFont="1" applyBorder="1" applyAlignment="1">
      <alignment horizontal="center" vertical="center" wrapText="1"/>
    </xf>
    <xf numFmtId="9" fontId="5" fillId="0" borderId="12" xfId="0" applyNumberFormat="1" applyFont="1" applyBorder="1" applyAlignment="1">
      <alignment horizontal="center" vertical="center" wrapText="1"/>
    </xf>
    <xf numFmtId="0" fontId="2" fillId="0" borderId="7" xfId="0" applyFont="1" applyBorder="1" applyAlignment="1">
      <alignment vertical="center" wrapText="1"/>
    </xf>
    <xf numFmtId="0" fontId="2" fillId="0" borderId="14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5" xfId="0" applyFont="1" applyBorder="1"/>
    <xf numFmtId="0" fontId="0" fillId="0" borderId="5" xfId="0" applyBorder="1" applyAlignment="1">
      <alignment vertical="center" wrapText="1"/>
    </xf>
    <xf numFmtId="6" fontId="0" fillId="0" borderId="5" xfId="0" applyNumberFormat="1" applyBorder="1" applyAlignment="1">
      <alignment vertical="center" wrapText="1"/>
    </xf>
    <xf numFmtId="3" fontId="5" fillId="0" borderId="0" xfId="0" applyNumberFormat="1" applyFont="1" applyBorder="1" applyAlignment="1">
      <alignment vertical="center" wrapText="1"/>
    </xf>
    <xf numFmtId="0" fontId="0" fillId="0" borderId="0" xfId="0" applyBorder="1"/>
    <xf numFmtId="0" fontId="2" fillId="0" borderId="5" xfId="0" applyFont="1" applyFill="1" applyBorder="1" applyAlignment="1">
      <alignment vertical="center" wrapText="1"/>
    </xf>
    <xf numFmtId="6" fontId="2" fillId="0" borderId="0" xfId="0" applyNumberFormat="1" applyFont="1" applyBorder="1" applyAlignment="1">
      <alignment vertical="center" wrapText="1"/>
    </xf>
    <xf numFmtId="0" fontId="2" fillId="0" borderId="15" xfId="0" applyFont="1" applyBorder="1" applyAlignment="1">
      <alignment horizontal="center"/>
    </xf>
    <xf numFmtId="3" fontId="0" fillId="0" borderId="16" xfId="0" applyNumberFormat="1" applyBorder="1"/>
    <xf numFmtId="0" fontId="2" fillId="0" borderId="8" xfId="0" applyFont="1" applyBorder="1" applyAlignment="1">
      <alignment vertical="center" wrapText="1"/>
    </xf>
    <xf numFmtId="9" fontId="5" fillId="0" borderId="9" xfId="0" applyNumberFormat="1" applyFont="1" applyBorder="1" applyAlignment="1">
      <alignment horizontal="center" vertical="center" wrapText="1"/>
    </xf>
    <xf numFmtId="9" fontId="5" fillId="0" borderId="11" xfId="0" applyNumberFormat="1" applyFont="1" applyBorder="1" applyAlignment="1">
      <alignment horizontal="center" vertical="center" wrapText="1"/>
    </xf>
    <xf numFmtId="0" fontId="5" fillId="0" borderId="0" xfId="0" applyNumberFormat="1" applyFont="1" applyBorder="1" applyAlignment="1">
      <alignment horizontal="center" vertical="center" wrapText="1"/>
    </xf>
    <xf numFmtId="0" fontId="5" fillId="0" borderId="9" xfId="0" applyNumberFormat="1" applyFont="1" applyBorder="1" applyAlignment="1">
      <alignment horizontal="center" vertical="center" wrapText="1"/>
    </xf>
    <xf numFmtId="0" fontId="5" fillId="0" borderId="10" xfId="0" applyNumberFormat="1" applyFont="1" applyBorder="1" applyAlignment="1">
      <alignment horizontal="center" vertical="center" wrapText="1"/>
    </xf>
    <xf numFmtId="0" fontId="5" fillId="0" borderId="11" xfId="0" applyNumberFormat="1" applyFont="1" applyBorder="1" applyAlignment="1">
      <alignment horizontal="center" vertical="center" wrapText="1"/>
    </xf>
    <xf numFmtId="0" fontId="5" fillId="0" borderId="12" xfId="0" applyNumberFormat="1" applyFont="1" applyBorder="1" applyAlignment="1">
      <alignment horizontal="center" vertical="center" wrapText="1"/>
    </xf>
    <xf numFmtId="0" fontId="5" fillId="0" borderId="13" xfId="0" applyNumberFormat="1" applyFont="1" applyBorder="1" applyAlignment="1">
      <alignment horizontal="center" vertical="center" wrapText="1"/>
    </xf>
    <xf numFmtId="9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left" vertical="center" indent="1"/>
    </xf>
    <xf numFmtId="0" fontId="6" fillId="0" borderId="0" xfId="1" applyAlignment="1">
      <alignment vertical="center" wrapText="1"/>
    </xf>
    <xf numFmtId="0" fontId="6" fillId="0" borderId="0" xfId="1" applyAlignment="1">
      <alignment horizontal="left" vertical="center" indent="4"/>
    </xf>
    <xf numFmtId="0" fontId="7" fillId="2" borderId="17" xfId="0" applyFont="1" applyFill="1" applyBorder="1" applyAlignment="1">
      <alignment vertical="top" wrapText="1"/>
    </xf>
    <xf numFmtId="0" fontId="8" fillId="0" borderId="17" xfId="0" applyFont="1" applyBorder="1" applyAlignment="1">
      <alignment vertical="top" wrapText="1"/>
    </xf>
    <xf numFmtId="0" fontId="7" fillId="3" borderId="17" xfId="0" applyFont="1" applyFill="1" applyBorder="1" applyAlignment="1">
      <alignment vertical="top" wrapText="1"/>
    </xf>
    <xf numFmtId="0" fontId="9" fillId="0" borderId="17" xfId="0" applyFont="1" applyBorder="1" applyAlignment="1">
      <alignment vertical="top" wrapText="1"/>
    </xf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cap="all" baseline="0"/>
              <a:t>Portfolio Asset Allocation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'Asset Allocation'!$B$4</c:f>
              <c:strCache>
                <c:ptCount val="1"/>
                <c:pt idx="0">
                  <c:v>Amount (₹)</c:v>
                </c:pt>
              </c:strCache>
            </c:strRef>
          </c:tx>
          <c:dPt>
            <c:idx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1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2"/>
            <c:bubble3D val="0"/>
            <c:spPr>
              <a:solidFill>
                <a:schemeClr val="accent6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'Asset Allocation'!$A$5:$A$7</c:f>
              <c:strCache>
                <c:ptCount val="3"/>
                <c:pt idx="0">
                  <c:v>Stocks</c:v>
                </c:pt>
                <c:pt idx="1">
                  <c:v>ETFs</c:v>
                </c:pt>
                <c:pt idx="2">
                  <c:v>Crypto</c:v>
                </c:pt>
              </c:strCache>
            </c:strRef>
          </c:cat>
          <c:val>
            <c:numRef>
              <c:f>'Asset Allocation'!$B$5:$B$7</c:f>
              <c:numCache>
                <c:formatCode>General</c:formatCode>
                <c:ptCount val="3"/>
                <c:pt idx="0">
                  <c:v>35000</c:v>
                </c:pt>
                <c:pt idx="1">
                  <c:v>55000</c:v>
                </c:pt>
                <c:pt idx="2">
                  <c:v>10000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02-45BC-8438-8B90FC7BC0F5}"/>
            </c:ext>
          </c:extLst>
        </c:ser>
        <c:ser>
          <c:idx val="1"/>
          <c:order val="1"/>
          <c:tx>
            <c:strRef>
              <c:f>'Asset Allocation'!$C$4</c:f>
              <c:strCache>
                <c:ptCount val="1"/>
                <c:pt idx="0">
                  <c:v>Allocation</c:v>
                </c:pt>
              </c:strCache>
            </c:strRef>
          </c:tx>
          <c:dPt>
            <c:idx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1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2"/>
            <c:bubble3D val="0"/>
            <c:spPr>
              <a:solidFill>
                <a:schemeClr val="accent6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'Asset Allocation'!$A$5:$A$7</c:f>
              <c:strCache>
                <c:ptCount val="3"/>
                <c:pt idx="0">
                  <c:v>Stocks</c:v>
                </c:pt>
                <c:pt idx="1">
                  <c:v>ETFs</c:v>
                </c:pt>
                <c:pt idx="2">
                  <c:v>Crypto</c:v>
                </c:pt>
              </c:strCache>
            </c:strRef>
          </c:cat>
          <c:val>
            <c:numRef>
              <c:f>'Asset Allocation'!$C$5:$C$7</c:f>
              <c:numCache>
                <c:formatCode>0%</c:formatCode>
                <c:ptCount val="3"/>
                <c:pt idx="0">
                  <c:v>0.35</c:v>
                </c:pt>
                <c:pt idx="1">
                  <c:v>0.55000000000000004</c:v>
                </c:pt>
                <c:pt idx="2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302-45BC-8438-8B90FC7BC0F5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Portfolio Value Under Different Market Scenarios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'Stress Test'!$C$12</c:f>
              <c:strCache>
                <c:ptCount val="1"/>
                <c:pt idx="0">
                  <c:v>Portfolio Value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'Stress Test'!$A$13:$A$15</c:f>
              <c:strCache>
                <c:ptCount val="3"/>
                <c:pt idx="0">
                  <c:v>Moderate Correction</c:v>
                </c:pt>
                <c:pt idx="1">
                  <c:v>Severe Market Stress</c:v>
                </c:pt>
                <c:pt idx="2">
                  <c:v>Positive Market</c:v>
                </c:pt>
              </c:strCache>
            </c:strRef>
          </c:cat>
          <c:val>
            <c:numRef>
              <c:f>'Stress Test'!$C$13:$C$15</c:f>
              <c:numCache>
                <c:formatCode>"₹"#,##0_);[Red]\("₹"#,##0\)</c:formatCode>
                <c:ptCount val="3"/>
                <c:pt idx="0">
                  <c:v>82750</c:v>
                </c:pt>
                <c:pt idx="1">
                  <c:v>72000</c:v>
                </c:pt>
                <c:pt idx="2">
                  <c:v>118200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33-494F-AF95-B8C709F6D3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64822912"/>
        <c:axId val="764819040"/>
      </c:barChart>
      <c:catAx>
        <c:axId val="764822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4819040"/>
        <c:crosses val="autoZero"/>
        <c:auto val="1"/>
        <c:lblAlgn val="ctr"/>
        <c:lblOffset val="100"/>
        <c:noMultiLvlLbl val="0"/>
      </c:catAx>
      <c:valAx>
        <c:axId val="764819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#,##0_);[Red]\(&quot;₹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4822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130175</xdr:colOff>
      <xdr:row>3</xdr:row>
      <xdr:rowOff>19050</xdr:rowOff>
    </xdr:from>
    <xdr:to>
      <xdr:col>12</xdr:col>
      <xdr:colOff>336551</xdr:colOff>
      <xdr:row>18</xdr:row>
      <xdr:rowOff>31750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E29E6BF-7100-FF54-38AF-9799CE1696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879475</xdr:colOff>
      <xdr:row>10</xdr:row>
      <xdr:rowOff>152400</xdr:rowOff>
    </xdr:from>
    <xdr:to>
      <xdr:col>8</xdr:col>
      <xdr:colOff>403225</xdr:colOff>
      <xdr:row>25</xdr:row>
      <xdr:rowOff>120650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F713217-BBD4-8534-52E5-A68966DFA4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nseindia.com/static/products-services/indices-nifty50-index?utm_source=chatgpt.com" TargetMode="External"/><Relationship Id="rId2" Type="http://schemas.openxmlformats.org/officeDocument/2006/relationships/hyperlink" Target="https://www.nseindia.com/?utm_source=chatgpt.com" TargetMode="External"/><Relationship Id="rId1" Type="http://schemas.openxmlformats.org/officeDocument/2006/relationships/hyperlink" Target="https://investor.sebi.gov.in/?utm_source=chatgpt.com" TargetMode="External"/><Relationship Id="rId4" Type="http://schemas.openxmlformats.org/officeDocument/2006/relationships/hyperlink" Target="https://www.niftyindices.com/?utm_source=chatgp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B0F4F-A52D-4241-AC0A-FDB217F43503}">
  <dimension ref="A1:E16"/>
  <sheetViews>
    <sheetView topLeftCell="A10" workbookViewId="0">
      <selection activeCell="E4" sqref="E4"/>
    </sheetView>
  </sheetViews>
  <sheetFormatPr defaultRowHeight="14.5" x14ac:dyDescent="0.35"/>
  <cols>
    <col min="1" max="1" width="33.453125" customWidth="1"/>
    <col min="2" max="2" width="14.7265625" customWidth="1"/>
    <col min="3" max="3" width="13.90625" customWidth="1"/>
    <col min="4" max="4" width="12.81640625" customWidth="1"/>
    <col min="5" max="5" width="24.6328125" customWidth="1"/>
  </cols>
  <sheetData>
    <row r="1" spans="1:5" ht="21" x14ac:dyDescent="0.35">
      <c r="A1" s="18" t="s">
        <v>0</v>
      </c>
      <c r="B1" s="18"/>
      <c r="C1" s="18"/>
      <c r="D1" s="18"/>
      <c r="E1" s="18"/>
    </row>
    <row r="2" spans="1:5" ht="21" x14ac:dyDescent="0.35">
      <c r="A2" s="17"/>
      <c r="B2" s="17"/>
      <c r="C2" s="17"/>
      <c r="D2" s="17"/>
      <c r="E2" s="17"/>
    </row>
    <row r="3" spans="1:5" ht="21" x14ac:dyDescent="0.5">
      <c r="A3" s="4" t="s">
        <v>31</v>
      </c>
      <c r="B3" s="17"/>
      <c r="C3" s="17"/>
      <c r="D3" s="17"/>
      <c r="E3" s="17"/>
    </row>
    <row r="5" spans="1:5" ht="15.5" x14ac:dyDescent="0.35">
      <c r="A5" s="2" t="s">
        <v>24</v>
      </c>
      <c r="B5" s="19">
        <v>100000</v>
      </c>
    </row>
    <row r="6" spans="1:5" ht="15" thickBot="1" x14ac:dyDescent="0.4"/>
    <row r="7" spans="1:5" ht="31.5" thickBot="1" x14ac:dyDescent="0.4">
      <c r="A7" s="6" t="s">
        <v>1</v>
      </c>
      <c r="B7" s="7" t="s">
        <v>2</v>
      </c>
      <c r="C7" s="7" t="s">
        <v>3</v>
      </c>
      <c r="D7" s="7" t="s">
        <v>4</v>
      </c>
      <c r="E7" s="7" t="s">
        <v>5</v>
      </c>
    </row>
    <row r="8" spans="1:5" ht="31.5" thickBot="1" x14ac:dyDescent="0.4">
      <c r="A8" s="8" t="s">
        <v>6</v>
      </c>
      <c r="B8" s="9" t="s">
        <v>7</v>
      </c>
      <c r="C8" s="10">
        <v>15000</v>
      </c>
      <c r="D8" s="11">
        <f>C8/100000</f>
        <v>0.15</v>
      </c>
      <c r="E8" s="9" t="s">
        <v>8</v>
      </c>
    </row>
    <row r="9" spans="1:5" ht="48.5" customHeight="1" thickBot="1" x14ac:dyDescent="0.4">
      <c r="A9" s="8" t="s">
        <v>6</v>
      </c>
      <c r="B9" s="9" t="s">
        <v>9</v>
      </c>
      <c r="C9" s="10">
        <v>11000</v>
      </c>
      <c r="D9" s="11">
        <f>C9/100000</f>
        <v>0.11</v>
      </c>
      <c r="E9" s="9" t="s">
        <v>10</v>
      </c>
    </row>
    <row r="10" spans="1:5" ht="31.5" thickBot="1" x14ac:dyDescent="0.4">
      <c r="A10" s="8" t="s">
        <v>6</v>
      </c>
      <c r="B10" s="9" t="s">
        <v>11</v>
      </c>
      <c r="C10" s="10">
        <v>9000</v>
      </c>
      <c r="D10" s="11">
        <f t="shared" ref="D10:D14" si="0">C10/100000</f>
        <v>0.09</v>
      </c>
      <c r="E10" s="9" t="s">
        <v>12</v>
      </c>
    </row>
    <row r="11" spans="1:5" ht="31.5" thickBot="1" x14ac:dyDescent="0.4">
      <c r="A11" s="8" t="s">
        <v>13</v>
      </c>
      <c r="B11" s="9" t="s">
        <v>14</v>
      </c>
      <c r="C11" s="10">
        <v>40000</v>
      </c>
      <c r="D11" s="11">
        <f t="shared" si="0"/>
        <v>0.4</v>
      </c>
      <c r="E11" s="9" t="s">
        <v>15</v>
      </c>
    </row>
    <row r="12" spans="1:5" ht="31.5" thickBot="1" x14ac:dyDescent="0.4">
      <c r="A12" s="8" t="s">
        <v>13</v>
      </c>
      <c r="B12" s="9" t="s">
        <v>16</v>
      </c>
      <c r="C12" s="10">
        <v>15000</v>
      </c>
      <c r="D12" s="11">
        <f t="shared" si="0"/>
        <v>0.15</v>
      </c>
      <c r="E12" s="9" t="s">
        <v>17</v>
      </c>
    </row>
    <row r="13" spans="1:5" ht="31.5" thickBot="1" x14ac:dyDescent="0.4">
      <c r="A13" s="8" t="s">
        <v>18</v>
      </c>
      <c r="B13" s="9" t="s">
        <v>19</v>
      </c>
      <c r="C13" s="10">
        <v>7000</v>
      </c>
      <c r="D13" s="11">
        <f t="shared" si="0"/>
        <v>7.0000000000000007E-2</v>
      </c>
      <c r="E13" s="9" t="s">
        <v>20</v>
      </c>
    </row>
    <row r="14" spans="1:5" ht="31.5" thickBot="1" x14ac:dyDescent="0.4">
      <c r="A14" s="8" t="s">
        <v>18</v>
      </c>
      <c r="B14" s="9" t="s">
        <v>21</v>
      </c>
      <c r="C14" s="10">
        <v>3000</v>
      </c>
      <c r="D14" s="11">
        <f t="shared" si="0"/>
        <v>0.03</v>
      </c>
      <c r="E14" s="9" t="s">
        <v>22</v>
      </c>
    </row>
    <row r="15" spans="1:5" ht="16" thickBot="1" x14ac:dyDescent="0.4">
      <c r="A15" s="12" t="s">
        <v>23</v>
      </c>
      <c r="B15" s="13"/>
      <c r="C15" s="14">
        <f>SUM(C8:C14)</f>
        <v>100000</v>
      </c>
      <c r="D15" s="15">
        <f>SUM(D8:D14)</f>
        <v>1</v>
      </c>
      <c r="E15" s="13"/>
    </row>
    <row r="16" spans="1:5" ht="18.5" x14ac:dyDescent="0.35">
      <c r="A16" s="16"/>
    </row>
  </sheetData>
  <mergeCells count="1">
    <mergeCell ref="A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DBB04-F56B-46A3-9870-0762D0DB8D7A}">
  <dimension ref="A1:C8"/>
  <sheetViews>
    <sheetView workbookViewId="0">
      <selection activeCell="A4" sqref="A4:C7"/>
    </sheetView>
  </sheetViews>
  <sheetFormatPr defaultRowHeight="14.5" x14ac:dyDescent="0.35"/>
  <cols>
    <col min="1" max="1" width="18.26953125" bestFit="1" customWidth="1"/>
    <col min="3" max="3" width="14.453125" customWidth="1"/>
  </cols>
  <sheetData>
    <row r="1" spans="1:3" ht="18.5" x14ac:dyDescent="0.45">
      <c r="A1" s="3" t="s">
        <v>30</v>
      </c>
    </row>
    <row r="4" spans="1:3" ht="31" x14ac:dyDescent="0.35">
      <c r="A4" s="25" t="s">
        <v>1</v>
      </c>
      <c r="B4" s="25" t="s">
        <v>25</v>
      </c>
      <c r="C4" s="25" t="s">
        <v>26</v>
      </c>
    </row>
    <row r="5" spans="1:3" ht="15.5" x14ac:dyDescent="0.35">
      <c r="A5" s="23" t="s">
        <v>27</v>
      </c>
      <c r="B5" s="23">
        <v>35000</v>
      </c>
      <c r="C5" s="24">
        <v>0.35</v>
      </c>
    </row>
    <row r="6" spans="1:3" ht="15.5" x14ac:dyDescent="0.35">
      <c r="A6" s="23" t="s">
        <v>28</v>
      </c>
      <c r="B6" s="23">
        <v>55000</v>
      </c>
      <c r="C6" s="24">
        <v>0.55000000000000004</v>
      </c>
    </row>
    <row r="7" spans="1:3" ht="15.5" x14ac:dyDescent="0.35">
      <c r="A7" s="23" t="s">
        <v>18</v>
      </c>
      <c r="B7" s="23">
        <v>10000</v>
      </c>
      <c r="C7" s="24">
        <v>0.1</v>
      </c>
    </row>
    <row r="8" spans="1:3" ht="15.5" x14ac:dyDescent="0.35">
      <c r="A8" s="23" t="s">
        <v>29</v>
      </c>
      <c r="B8" s="23">
        <v>100000</v>
      </c>
      <c r="C8" s="24">
        <v>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FC425-0ED5-4C72-B528-D61E04FEA9AC}">
  <dimension ref="A1:J15"/>
  <sheetViews>
    <sheetView topLeftCell="A10" workbookViewId="0">
      <selection activeCell="J15" sqref="J15"/>
    </sheetView>
  </sheetViews>
  <sheetFormatPr defaultRowHeight="14.5" x14ac:dyDescent="0.35"/>
  <cols>
    <col min="1" max="1" width="28.54296875" customWidth="1"/>
    <col min="2" max="2" width="18.08984375" bestFit="1" customWidth="1"/>
    <col min="3" max="4" width="13.81640625" customWidth="1"/>
    <col min="6" max="6" width="18.453125" customWidth="1"/>
    <col min="7" max="7" width="14.26953125" customWidth="1"/>
    <col min="8" max="8" width="17" customWidth="1"/>
    <col min="9" max="9" width="18.08984375" bestFit="1" customWidth="1"/>
  </cols>
  <sheetData>
    <row r="1" spans="1:10" ht="21" x14ac:dyDescent="0.5">
      <c r="A1" s="4" t="s">
        <v>36</v>
      </c>
    </row>
    <row r="3" spans="1:10" x14ac:dyDescent="0.35">
      <c r="A3" s="21"/>
      <c r="B3" s="21"/>
      <c r="C3" s="21"/>
      <c r="D3" s="21"/>
      <c r="E3" s="21"/>
    </row>
    <row r="4" spans="1:10" ht="15.5" x14ac:dyDescent="0.35">
      <c r="A4" s="31" t="s">
        <v>32</v>
      </c>
      <c r="B4" s="40" t="s">
        <v>39</v>
      </c>
      <c r="C4" s="40"/>
      <c r="D4" s="40"/>
      <c r="E4" s="40"/>
      <c r="F4" s="40" t="s">
        <v>40</v>
      </c>
      <c r="G4" s="40"/>
      <c r="H4" s="40"/>
      <c r="I4" s="40"/>
    </row>
    <row r="5" spans="1:10" ht="15.5" x14ac:dyDescent="0.35">
      <c r="A5" s="30"/>
      <c r="B5" s="26" t="s">
        <v>27</v>
      </c>
      <c r="C5" s="29" t="s">
        <v>14</v>
      </c>
      <c r="D5" s="29" t="s">
        <v>16</v>
      </c>
      <c r="E5" s="29" t="s">
        <v>18</v>
      </c>
      <c r="F5" s="26" t="s">
        <v>27</v>
      </c>
      <c r="G5" s="29" t="s">
        <v>14</v>
      </c>
      <c r="H5" s="29" t="s">
        <v>16</v>
      </c>
      <c r="I5" s="42" t="s">
        <v>18</v>
      </c>
    </row>
    <row r="6" spans="1:10" ht="15.5" x14ac:dyDescent="0.35">
      <c r="A6" s="30" t="s">
        <v>33</v>
      </c>
      <c r="B6" s="43">
        <v>-0.2</v>
      </c>
      <c r="C6" s="27">
        <v>-0.15</v>
      </c>
      <c r="D6" s="27">
        <v>0.05</v>
      </c>
      <c r="E6" s="27">
        <v>-0.5</v>
      </c>
      <c r="F6" s="46">
        <f>(B6)*B9</f>
        <v>-7000</v>
      </c>
      <c r="G6" s="45">
        <f>(C6)*C9</f>
        <v>-6000</v>
      </c>
      <c r="H6" s="45">
        <f>(D6)*D9</f>
        <v>750</v>
      </c>
      <c r="I6" s="47">
        <f>(E6)*E9</f>
        <v>-5000</v>
      </c>
    </row>
    <row r="7" spans="1:10" ht="15.5" x14ac:dyDescent="0.35">
      <c r="A7" s="30" t="s">
        <v>34</v>
      </c>
      <c r="B7" s="43">
        <v>-0.3</v>
      </c>
      <c r="C7" s="27">
        <v>-0.25</v>
      </c>
      <c r="D7" s="27">
        <v>-0.1</v>
      </c>
      <c r="E7" s="27">
        <v>-0.6</v>
      </c>
      <c r="F7" s="46">
        <f>(B7)*B9</f>
        <v>-10500</v>
      </c>
      <c r="G7" s="45">
        <f>(C7)*C9</f>
        <v>-10000</v>
      </c>
      <c r="H7" s="45">
        <f>(D7)*D9</f>
        <v>-1500</v>
      </c>
      <c r="I7" s="47">
        <f>(E7)*E9</f>
        <v>-6000</v>
      </c>
    </row>
    <row r="8" spans="1:10" ht="15.5" x14ac:dyDescent="0.35">
      <c r="A8" s="30" t="s">
        <v>35</v>
      </c>
      <c r="B8" s="44">
        <v>0.2</v>
      </c>
      <c r="C8" s="28">
        <v>0.15</v>
      </c>
      <c r="D8" s="28">
        <v>0.08</v>
      </c>
      <c r="E8" s="28">
        <v>0.4</v>
      </c>
      <c r="F8" s="48">
        <f>(B8)*B9</f>
        <v>7000</v>
      </c>
      <c r="G8" s="49">
        <f>(C8)*C9</f>
        <v>6000</v>
      </c>
      <c r="H8" s="49">
        <f>(D8)*D9</f>
        <v>1200</v>
      </c>
      <c r="I8" s="50">
        <f>(E8)*E9</f>
        <v>4000</v>
      </c>
      <c r="J8" s="36"/>
    </row>
    <row r="9" spans="1:10" ht="15.5" x14ac:dyDescent="0.35">
      <c r="A9" s="38" t="s">
        <v>31</v>
      </c>
      <c r="B9" s="41">
        <v>35000</v>
      </c>
      <c r="C9" s="41">
        <v>40000</v>
      </c>
      <c r="D9" s="41">
        <v>15000</v>
      </c>
      <c r="E9" s="41">
        <v>10000</v>
      </c>
      <c r="F9" s="41"/>
      <c r="G9" s="41"/>
      <c r="H9" s="41"/>
      <c r="I9" s="41"/>
      <c r="J9" s="36"/>
    </row>
    <row r="10" spans="1:10" ht="15.5" x14ac:dyDescent="0.35">
      <c r="H10" s="39"/>
      <c r="J10" s="37"/>
    </row>
    <row r="11" spans="1:10" ht="15.5" x14ac:dyDescent="0.35">
      <c r="B11" s="37"/>
      <c r="H11" s="39"/>
    </row>
    <row r="12" spans="1:10" x14ac:dyDescent="0.35">
      <c r="A12" s="32" t="s">
        <v>32</v>
      </c>
      <c r="B12" s="33" t="s">
        <v>37</v>
      </c>
      <c r="C12" s="32" t="s">
        <v>38</v>
      </c>
    </row>
    <row r="13" spans="1:10" x14ac:dyDescent="0.35">
      <c r="A13" s="34" t="s">
        <v>33</v>
      </c>
      <c r="B13" s="35">
        <f>SUM(F6,G6,I6,H6)</f>
        <v>-17250</v>
      </c>
      <c r="C13" s="35">
        <f>100000+(B13)</f>
        <v>82750</v>
      </c>
    </row>
    <row r="14" spans="1:10" x14ac:dyDescent="0.35">
      <c r="A14" s="34" t="s">
        <v>34</v>
      </c>
      <c r="B14" s="35">
        <f>SUM(F7,G7,H7,I7)</f>
        <v>-28000</v>
      </c>
      <c r="C14" s="35">
        <f>100000+(B14)</f>
        <v>72000</v>
      </c>
    </row>
    <row r="15" spans="1:10" x14ac:dyDescent="0.35">
      <c r="A15" s="34" t="s">
        <v>35</v>
      </c>
      <c r="B15" s="35">
        <f>SUM(F8,G8,H8,I8)</f>
        <v>18200</v>
      </c>
      <c r="C15" s="35">
        <f>100000+B15</f>
        <v>118200</v>
      </c>
    </row>
  </sheetData>
  <mergeCells count="2">
    <mergeCell ref="B4:E4"/>
    <mergeCell ref="F4:I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065B3-A2C2-4EE0-8FEB-24D6E7C0F89E}">
  <dimension ref="A1:D18"/>
  <sheetViews>
    <sheetView topLeftCell="A4" workbookViewId="0">
      <selection activeCell="C13" sqref="C13"/>
    </sheetView>
  </sheetViews>
  <sheetFormatPr defaultRowHeight="14.5" x14ac:dyDescent="0.35"/>
  <cols>
    <col min="1" max="1" width="66.54296875" bestFit="1" customWidth="1"/>
    <col min="2" max="2" width="20" customWidth="1"/>
    <col min="3" max="3" width="18.1796875" customWidth="1"/>
    <col min="4" max="4" width="18.7265625" customWidth="1"/>
  </cols>
  <sheetData>
    <row r="1" spans="1:4" ht="21" x14ac:dyDescent="0.5">
      <c r="A1" s="5" t="s">
        <v>41</v>
      </c>
      <c r="B1" s="5"/>
      <c r="C1" s="5"/>
      <c r="D1" s="5"/>
    </row>
    <row r="4" spans="1:4" x14ac:dyDescent="0.35">
      <c r="A4" s="21" t="s">
        <v>1</v>
      </c>
      <c r="B4" s="21" t="s">
        <v>42</v>
      </c>
      <c r="C4" s="21" t="s">
        <v>43</v>
      </c>
      <c r="D4" s="21" t="s">
        <v>44</v>
      </c>
    </row>
    <row r="5" spans="1:4" x14ac:dyDescent="0.35">
      <c r="A5" s="20" t="s">
        <v>27</v>
      </c>
      <c r="B5" s="51">
        <v>0.35</v>
      </c>
      <c r="C5" s="20" t="s">
        <v>45</v>
      </c>
      <c r="D5" s="20" t="s">
        <v>46</v>
      </c>
    </row>
    <row r="6" spans="1:4" x14ac:dyDescent="0.35">
      <c r="A6" s="20" t="s">
        <v>28</v>
      </c>
      <c r="B6" s="51">
        <v>0.55000000000000004</v>
      </c>
      <c r="C6" s="20" t="s">
        <v>45</v>
      </c>
      <c r="D6" s="20" t="s">
        <v>46</v>
      </c>
    </row>
    <row r="7" spans="1:4" x14ac:dyDescent="0.35">
      <c r="A7" s="20" t="s">
        <v>18</v>
      </c>
      <c r="B7" s="51">
        <v>0.1</v>
      </c>
      <c r="C7" s="20" t="s">
        <v>47</v>
      </c>
      <c r="D7" s="20" t="s">
        <v>46</v>
      </c>
    </row>
    <row r="10" spans="1:4" x14ac:dyDescent="0.35">
      <c r="A10" s="1" t="s">
        <v>48</v>
      </c>
    </row>
    <row r="11" spans="1:4" x14ac:dyDescent="0.35">
      <c r="A11" s="52"/>
    </row>
    <row r="12" spans="1:4" x14ac:dyDescent="0.35">
      <c r="A12" s="52" t="s">
        <v>49</v>
      </c>
    </row>
    <row r="13" spans="1:4" x14ac:dyDescent="0.35">
      <c r="A13" s="52" t="s">
        <v>50</v>
      </c>
    </row>
    <row r="14" spans="1:4" x14ac:dyDescent="0.35">
      <c r="A14" s="52" t="s">
        <v>51</v>
      </c>
    </row>
    <row r="15" spans="1:4" x14ac:dyDescent="0.35">
      <c r="A15" s="52" t="s">
        <v>52</v>
      </c>
    </row>
    <row r="16" spans="1:4" x14ac:dyDescent="0.35">
      <c r="A16" s="52" t="s">
        <v>53</v>
      </c>
    </row>
    <row r="17" spans="1:1" x14ac:dyDescent="0.35">
      <c r="A17" s="52" t="s">
        <v>54</v>
      </c>
    </row>
    <row r="18" spans="1:1" x14ac:dyDescent="0.35">
      <c r="A18" s="52" t="s">
        <v>55</v>
      </c>
    </row>
  </sheetData>
  <mergeCells count="1">
    <mergeCell ref="A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D486D-A1B4-46D7-B61E-AB9C56D7B46B}">
  <dimension ref="A1:G22"/>
  <sheetViews>
    <sheetView tabSelected="1" topLeftCell="A4" zoomScale="85" zoomScaleNormal="85" workbookViewId="0">
      <selection activeCell="C17" sqref="C17"/>
    </sheetView>
  </sheetViews>
  <sheetFormatPr defaultRowHeight="14.5" x14ac:dyDescent="0.35"/>
  <cols>
    <col min="1" max="1" width="23.26953125" bestFit="1" customWidth="1"/>
    <col min="2" max="2" width="38.54296875" customWidth="1"/>
    <col min="3" max="3" width="66.1796875" customWidth="1"/>
    <col min="6" max="6" width="22.6328125" customWidth="1"/>
    <col min="7" max="7" width="32.1796875" customWidth="1"/>
  </cols>
  <sheetData>
    <row r="1" spans="1:7" ht="21" x14ac:dyDescent="0.5">
      <c r="A1" s="4" t="s">
        <v>79</v>
      </c>
    </row>
    <row r="4" spans="1:7" ht="15" thickBot="1" x14ac:dyDescent="0.4">
      <c r="A4" s="55" t="s">
        <v>67</v>
      </c>
      <c r="B4" s="55" t="s">
        <v>80</v>
      </c>
      <c r="C4" s="55" t="s">
        <v>5</v>
      </c>
    </row>
    <row r="5" spans="1:7" ht="15" thickBot="1" x14ac:dyDescent="0.4">
      <c r="A5" s="58" t="s">
        <v>68</v>
      </c>
      <c r="B5" s="59" t="s">
        <v>84</v>
      </c>
      <c r="C5" s="56" t="s">
        <v>69</v>
      </c>
      <c r="F5" s="22"/>
      <c r="G5" s="22"/>
    </row>
    <row r="6" spans="1:7" ht="15" thickBot="1" x14ac:dyDescent="0.4">
      <c r="A6" s="58" t="s">
        <v>70</v>
      </c>
      <c r="B6" t="s">
        <v>85</v>
      </c>
      <c r="C6" s="22" t="s">
        <v>81</v>
      </c>
      <c r="F6" s="22"/>
      <c r="G6" s="22"/>
    </row>
    <row r="7" spans="1:7" ht="15" thickBot="1" x14ac:dyDescent="0.4">
      <c r="A7" s="58" t="s">
        <v>71</v>
      </c>
      <c r="B7" t="s">
        <v>86</v>
      </c>
      <c r="C7" s="56" t="s">
        <v>72</v>
      </c>
      <c r="F7" s="22"/>
      <c r="G7" s="22"/>
    </row>
    <row r="8" spans="1:7" ht="15" thickBot="1" x14ac:dyDescent="0.4">
      <c r="A8" s="58" t="s">
        <v>73</v>
      </c>
      <c r="B8" t="s">
        <v>87</v>
      </c>
      <c r="C8" s="22" t="s">
        <v>82</v>
      </c>
      <c r="F8" s="22"/>
      <c r="G8" s="22"/>
    </row>
    <row r="9" spans="1:7" ht="15" thickBot="1" x14ac:dyDescent="0.4">
      <c r="A9" s="58" t="s">
        <v>74</v>
      </c>
      <c r="B9" t="s">
        <v>89</v>
      </c>
      <c r="C9" s="22" t="s">
        <v>83</v>
      </c>
      <c r="F9" s="22"/>
      <c r="G9" s="22"/>
    </row>
    <row r="10" spans="1:7" ht="15" thickBot="1" x14ac:dyDescent="0.4">
      <c r="A10" s="58" t="s">
        <v>75</v>
      </c>
      <c r="C10" s="56" t="s">
        <v>76</v>
      </c>
    </row>
    <row r="11" spans="1:7" ht="15" thickBot="1" x14ac:dyDescent="0.4">
      <c r="A11" s="58" t="s">
        <v>77</v>
      </c>
      <c r="B11" t="s">
        <v>88</v>
      </c>
      <c r="C11" s="56" t="s">
        <v>78</v>
      </c>
    </row>
    <row r="15" spans="1:7" ht="15" thickBot="1" x14ac:dyDescent="0.4">
      <c r="A15" s="57"/>
      <c r="B15" s="57"/>
      <c r="C15" s="57"/>
    </row>
    <row r="16" spans="1:7" ht="15" thickBot="1" x14ac:dyDescent="0.4">
      <c r="A16" s="56"/>
      <c r="B16" s="56"/>
      <c r="C16" s="56"/>
    </row>
    <row r="17" spans="1:3" ht="15" thickBot="1" x14ac:dyDescent="0.4">
      <c r="A17" s="56"/>
      <c r="B17" s="56"/>
      <c r="C17" s="56"/>
    </row>
    <row r="18" spans="1:3" ht="15" thickBot="1" x14ac:dyDescent="0.4">
      <c r="A18" s="56"/>
      <c r="B18" s="56"/>
      <c r="C18" s="56"/>
    </row>
    <row r="19" spans="1:3" ht="15" thickBot="1" x14ac:dyDescent="0.4">
      <c r="A19" s="56"/>
      <c r="B19" s="56"/>
      <c r="C19" s="56"/>
    </row>
    <row r="20" spans="1:3" ht="15" thickBot="1" x14ac:dyDescent="0.4">
      <c r="A20" s="56"/>
      <c r="B20" s="56"/>
      <c r="C20" s="56"/>
    </row>
    <row r="21" spans="1:3" ht="15" thickBot="1" x14ac:dyDescent="0.4">
      <c r="A21" s="56"/>
      <c r="B21" s="56"/>
      <c r="C21" s="56"/>
    </row>
    <row r="22" spans="1:3" ht="15" thickBot="1" x14ac:dyDescent="0.4">
      <c r="A22" s="56"/>
      <c r="B22" s="56"/>
      <c r="C22" s="5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85E43-3596-4B80-8785-A58214BABF60}">
  <dimension ref="A1:B19"/>
  <sheetViews>
    <sheetView workbookViewId="0">
      <selection activeCell="F18" sqref="F18"/>
    </sheetView>
  </sheetViews>
  <sheetFormatPr defaultRowHeight="14.5" x14ac:dyDescent="0.35"/>
  <cols>
    <col min="1" max="1" width="14.36328125" bestFit="1" customWidth="1"/>
    <col min="2" max="2" width="70.54296875" customWidth="1"/>
  </cols>
  <sheetData>
    <row r="1" spans="1:2" ht="21" x14ac:dyDescent="0.5">
      <c r="A1" s="5" t="s">
        <v>56</v>
      </c>
      <c r="B1" s="5"/>
    </row>
    <row r="4" spans="1:2" x14ac:dyDescent="0.35">
      <c r="A4" s="21" t="s">
        <v>66</v>
      </c>
      <c r="B4" s="21" t="s">
        <v>57</v>
      </c>
    </row>
    <row r="5" spans="1:2" x14ac:dyDescent="0.35">
      <c r="A5" s="22" t="s">
        <v>58</v>
      </c>
      <c r="B5" s="53" t="s">
        <v>59</v>
      </c>
    </row>
    <row r="6" spans="1:2" x14ac:dyDescent="0.35">
      <c r="A6" s="22" t="s">
        <v>60</v>
      </c>
      <c r="B6" s="53" t="s">
        <v>61</v>
      </c>
    </row>
    <row r="7" spans="1:2" x14ac:dyDescent="0.35">
      <c r="A7" s="22" t="s">
        <v>62</v>
      </c>
      <c r="B7" s="53" t="s">
        <v>63</v>
      </c>
    </row>
    <row r="8" spans="1:2" x14ac:dyDescent="0.35">
      <c r="A8" s="22" t="s">
        <v>64</v>
      </c>
      <c r="B8" s="53" t="s">
        <v>65</v>
      </c>
    </row>
    <row r="9" spans="1:2" x14ac:dyDescent="0.35">
      <c r="A9" s="22"/>
      <c r="B9" s="53"/>
    </row>
    <row r="15" spans="1:2" x14ac:dyDescent="0.35">
      <c r="B15" s="54"/>
    </row>
    <row r="16" spans="1:2" x14ac:dyDescent="0.35">
      <c r="B16" s="54"/>
    </row>
    <row r="17" spans="2:2" x14ac:dyDescent="0.35">
      <c r="B17" s="54"/>
    </row>
    <row r="18" spans="2:2" x14ac:dyDescent="0.35">
      <c r="B18" s="54"/>
    </row>
    <row r="19" spans="2:2" x14ac:dyDescent="0.35">
      <c r="B19" s="54"/>
    </row>
  </sheetData>
  <mergeCells count="1">
    <mergeCell ref="A1:B1"/>
  </mergeCells>
  <hyperlinks>
    <hyperlink ref="B5" r:id="rId1" display="https://investor.sebi.gov.in/?utm_source=chatgpt.com" xr:uid="{E3CF21BA-BCCE-45AC-8AE6-90343E6645EC}"/>
    <hyperlink ref="B6" r:id="rId2" display="https://www.nseindia.com/?utm_source=chatgpt.com" xr:uid="{8073C762-12BA-4F6B-BBC9-FA260D72764D}"/>
    <hyperlink ref="B7" r:id="rId3" display="https://www.nseindia.com/static/products-services/indices-nifty50-index?utm_source=chatgpt.com" xr:uid="{A9883EC8-D25B-4366-937E-27F754294E51}"/>
    <hyperlink ref="B8" r:id="rId4" display="https://www.niftyindices.com/?utm_source=chatgpt.com" xr:uid="{E5015EB2-FAD7-46E9-895B-0698F4A0D0E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Portfolio</vt:lpstr>
      <vt:lpstr>Asset Allocation</vt:lpstr>
      <vt:lpstr>Stress Test</vt:lpstr>
      <vt:lpstr>Monitoring</vt:lpstr>
      <vt:lpstr>Key Formulas</vt:lpstr>
      <vt:lpstr>References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 Sh</dc:creator>
  <cp:lastModifiedBy>Jo Sh</cp:lastModifiedBy>
  <dcterms:created xsi:type="dcterms:W3CDTF">2026-10-05T19:15:11Z</dcterms:created>
  <dcterms:modified xsi:type="dcterms:W3CDTF">2026-10-05T20:37:41Z</dcterms:modified>
</cp:coreProperties>
</file>